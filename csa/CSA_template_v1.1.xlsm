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DieseArbeitsmappe" hidePivotFieldList="1" defaultThemeVersion="124226"/>
  <bookViews>
    <workbookView xWindow="240" yWindow="108" windowWidth="9228" windowHeight="5136" tabRatio="765" activeTab="2"/>
  </bookViews>
  <sheets>
    <sheet name="version_history" sheetId="6" r:id="rId1"/>
    <sheet name="0_parameter catelogue" sheetId="4" r:id="rId2"/>
    <sheet name="1_use case tracker" sheetId="1" r:id="rId3"/>
  </sheets>
  <calcPr calcId="152511"/>
</workbook>
</file>

<file path=xl/calcChain.xml><?xml version="1.0" encoding="utf-8"?>
<calcChain xmlns="http://schemas.openxmlformats.org/spreadsheetml/2006/main">
  <c r="F116" i="4" l="1"/>
  <c r="F117" i="4"/>
  <c r="F11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85" i="4"/>
  <c r="F135" i="4" l="1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69" i="4"/>
  <c r="F68" i="4"/>
  <c r="F67" i="4"/>
  <c r="F66" i="4"/>
  <c r="F65" i="4"/>
  <c r="F64" i="4"/>
  <c r="F63" i="4"/>
  <c r="F62" i="4"/>
  <c r="F60" i="4"/>
  <c r="F59" i="4"/>
  <c r="F58" i="4"/>
  <c r="F57" i="4"/>
  <c r="F56" i="4"/>
  <c r="F55" i="4"/>
  <c r="F54" i="4"/>
  <c r="F53" i="4"/>
  <c r="F52" i="4"/>
  <c r="F51" i="4"/>
  <c r="F50" i="4"/>
  <c r="F49" i="4"/>
  <c r="F47" i="4"/>
  <c r="F46" i="4"/>
  <c r="F45" i="4"/>
  <c r="F44" i="4"/>
  <c r="F43" i="4"/>
  <c r="F42" i="4"/>
  <c r="F41" i="4"/>
  <c r="F40" i="4"/>
  <c r="F39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</calcChain>
</file>

<file path=xl/comments1.xml><?xml version="1.0" encoding="utf-8"?>
<comments xmlns="http://schemas.openxmlformats.org/spreadsheetml/2006/main">
  <authors>
    <author>Author</author>
  </authors>
  <commentList>
    <comment ref="D1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specific parameters from TLH: puls frequency, type, brightness, position, inlay, aging</t>
        </r>
      </text>
    </comment>
  </commentList>
</comments>
</file>

<file path=xl/sharedStrings.xml><?xml version="1.0" encoding="utf-8"?>
<sst xmlns="http://schemas.openxmlformats.org/spreadsheetml/2006/main" count="545" uniqueCount="191">
  <si>
    <t>ev_id</t>
  </si>
  <si>
    <t>uc_id</t>
  </si>
  <si>
    <t>highway</t>
  </si>
  <si>
    <t>highway entrance</t>
  </si>
  <si>
    <t>highway exit</t>
  </si>
  <si>
    <t>highway end</t>
  </si>
  <si>
    <t>country road</t>
  </si>
  <si>
    <t>city</t>
  </si>
  <si>
    <t>mountain pass</t>
  </si>
  <si>
    <t>traffic-calmed sector</t>
  </si>
  <si>
    <t>30 zone</t>
  </si>
  <si>
    <t>one way road</t>
  </si>
  <si>
    <t>offroad</t>
  </si>
  <si>
    <t>construction zone with structural separation</t>
  </si>
  <si>
    <t>construction zone without structural separation</t>
  </si>
  <si>
    <t>tunnel</t>
  </si>
  <si>
    <t>railway crossing</t>
  </si>
  <si>
    <t>parking area</t>
  </si>
  <si>
    <t>toll station or border station</t>
  </si>
  <si>
    <t>parking in / parking out (pull-out) - longitudinally</t>
  </si>
  <si>
    <t>parking in / parking out (pull-out) - transversely</t>
  </si>
  <si>
    <t>stopping on a hill (with inclination)</t>
  </si>
  <si>
    <t>stopping on the road in 1st place</t>
  </si>
  <si>
    <t>stopping on the road behind front vehicle</t>
  </si>
  <si>
    <t>stopping on the stopping sign</t>
  </si>
  <si>
    <t>stopping in front of crosswalk</t>
  </si>
  <si>
    <t>stopping in front of traffic light</t>
  </si>
  <si>
    <t>entering priority road</t>
  </si>
  <si>
    <t>free lane-following</t>
  </si>
  <si>
    <t>driving with oncoming traffic in sight</t>
  </si>
  <si>
    <t>driving with unexpected traffic jam</t>
  </si>
  <si>
    <t>velocity</t>
  </si>
  <si>
    <t>lateral acceleration</t>
  </si>
  <si>
    <t>evasive maneuver</t>
  </si>
  <si>
    <t>lane change</t>
  </si>
  <si>
    <t>driving reversly</t>
  </si>
  <si>
    <t>rapid load changing</t>
  </si>
  <si>
    <t>overtaking maneuver with lane change to opposite lane</t>
  </si>
  <si>
    <t>crosswind</t>
  </si>
  <si>
    <t>temperature</t>
  </si>
  <si>
    <t>rain</t>
  </si>
  <si>
    <t>poor visibility through windshield</t>
  </si>
  <si>
    <t>poor visibility through the rear window</t>
  </si>
  <si>
    <t>poor visibility through the side windows</t>
  </si>
  <si>
    <t>poor visibility due to dense fog</t>
  </si>
  <si>
    <t>cloudy sky</t>
  </si>
  <si>
    <t>darkness with unrecognizable road boundary</t>
  </si>
  <si>
    <t>absolute friction coefficient</t>
  </si>
  <si>
    <t xml:space="preserve">u-split </t>
  </si>
  <si>
    <t>u-jump</t>
  </si>
  <si>
    <t>descent</t>
  </si>
  <si>
    <t>tilt</t>
  </si>
  <si>
    <t>quality of lane marking</t>
  </si>
  <si>
    <t>driving with considerable vertical excitation on the wheel</t>
  </si>
  <si>
    <t>guardrail</t>
  </si>
  <si>
    <t>bushes, trees and other plants</t>
  </si>
  <si>
    <t>curb</t>
  </si>
  <si>
    <t>wall</t>
  </si>
  <si>
    <t>barrier</t>
  </si>
  <si>
    <t>fence</t>
  </si>
  <si>
    <t>dotted line</t>
  </si>
  <si>
    <t>traffic light</t>
  </si>
  <si>
    <t>stop line</t>
  </si>
  <si>
    <t>crosswalk</t>
  </si>
  <si>
    <t>yield sign</t>
  </si>
  <si>
    <t>front end of parking space</t>
  </si>
  <si>
    <t>traffic lane with oncoming traffic</t>
  </si>
  <si>
    <t>traffic lane in driving direction</t>
  </si>
  <si>
    <t>sidewalk</t>
  </si>
  <si>
    <t>occluded area</t>
  </si>
  <si>
    <t>not relevant environmental area</t>
  </si>
  <si>
    <t>parking lane</t>
  </si>
  <si>
    <t>emergency lane</t>
  </si>
  <si>
    <t>bus lane</t>
  </si>
  <si>
    <t>bus stop</t>
  </si>
  <si>
    <t>slip road</t>
  </si>
  <si>
    <t>tramway rails on the road in driving direction</t>
  </si>
  <si>
    <t>bicycle lane</t>
  </si>
  <si>
    <t>width of the ego-lane</t>
  </si>
  <si>
    <t>width of the road</t>
  </si>
  <si>
    <t>amount of traffic directions</t>
  </si>
  <si>
    <t>amount of lanes</t>
  </si>
  <si>
    <t>speed limit from sign</t>
  </si>
  <si>
    <t>speed limit from road marking</t>
  </si>
  <si>
    <t>speed limit from location</t>
  </si>
  <si>
    <t>position of the object</t>
  </si>
  <si>
    <t>speed of the object</t>
  </si>
  <si>
    <t>acceleration or deceleration of the object</t>
  </si>
  <si>
    <t>pedestrian</t>
  </si>
  <si>
    <t>cyclist</t>
  </si>
  <si>
    <t>motorcyclist</t>
  </si>
  <si>
    <t>car</t>
  </si>
  <si>
    <t>bus</t>
  </si>
  <si>
    <t>truck</t>
  </si>
  <si>
    <t>emergency vehicle</t>
  </si>
  <si>
    <t>sign</t>
  </si>
  <si>
    <t>crosswalk marking</t>
  </si>
  <si>
    <t>lane marking</t>
  </si>
  <si>
    <t>cutting in vehicle</t>
  </si>
  <si>
    <t>sheering out vehicle</t>
  </si>
  <si>
    <t>unexpected obstacle, lost cargo or wild carcass</t>
  </si>
  <si>
    <t>cluster</t>
  </si>
  <si>
    <t>intermediate cluster</t>
  </si>
  <si>
    <t>parameter</t>
  </si>
  <si>
    <t>location</t>
  </si>
  <si>
    <t>boolean</t>
  </si>
  <si>
    <t>traffic situation</t>
  </si>
  <si>
    <t>parking</t>
  </si>
  <si>
    <t>stopping procedure</t>
  </si>
  <si>
    <t>numeric, continuous</t>
  </si>
  <si>
    <t>intersection situation</t>
  </si>
  <si>
    <t>traffic state</t>
  </si>
  <si>
    <t>boolean / numeric, continuous</t>
  </si>
  <si>
    <t>state of ego-motion</t>
  </si>
  <si>
    <t>special maneuvers</t>
  </si>
  <si>
    <t>environmental conditions</t>
  </si>
  <si>
    <t>climatic conditions</t>
  </si>
  <si>
    <t>poor visibility</t>
  </si>
  <si>
    <t>brightness</t>
  </si>
  <si>
    <t>darkness</t>
  </si>
  <si>
    <t>road conditions</t>
  </si>
  <si>
    <t>adhesion conditions</t>
  </si>
  <si>
    <t>slope</t>
  </si>
  <si>
    <t>marking</t>
  </si>
  <si>
    <t>unevenness</t>
  </si>
  <si>
    <t>road boundary</t>
  </si>
  <si>
    <t>left and right boundary</t>
  </si>
  <si>
    <t>physically non traversable</t>
  </si>
  <si>
    <t>traversable boundary</t>
  </si>
  <si>
    <t>boundary not allowed to traverse</t>
  </si>
  <si>
    <t>front and rear boundary</t>
  </si>
  <si>
    <t>temporarily bordered boundary</t>
  </si>
  <si>
    <t>numeric, discrete / numeric, continuous</t>
  </si>
  <si>
    <t>permanently bordered boundary</t>
  </si>
  <si>
    <t>road topology</t>
  </si>
  <si>
    <t>type of left environmental area</t>
  </si>
  <si>
    <t>type of right environmental area</t>
  </si>
  <si>
    <t>geometry</t>
  </si>
  <si>
    <t>numeric, discrete</t>
  </si>
  <si>
    <t>velocity limitation</t>
  </si>
  <si>
    <t>object</t>
  </si>
  <si>
    <t>motion state of object</t>
  </si>
  <si>
    <t>object type</t>
  </si>
  <si>
    <t>vulnerable road user</t>
  </si>
  <si>
    <t>other road user</t>
  </si>
  <si>
    <t>traffic element</t>
  </si>
  <si>
    <t>numeric, continuous /numeric, discrete</t>
  </si>
  <si>
    <t>special object</t>
  </si>
  <si>
    <t>use case</t>
  </si>
  <si>
    <t>compiled parameter</t>
  </si>
  <si>
    <t>ascent</t>
  </si>
  <si>
    <t>trigger-event</t>
  </si>
  <si>
    <t>modified by</t>
  </si>
  <si>
    <t>0.1</t>
  </si>
  <si>
    <t>Meng Chen</t>
  </si>
  <si>
    <t>0.9</t>
  </si>
  <si>
    <t>Christian Schäfer</t>
  </si>
  <si>
    <t>1.0</t>
  </si>
  <si>
    <t>expected functionality (optional)</t>
  </si>
  <si>
    <t>Macros for userability integrated (formulas work only in German though)</t>
  </si>
  <si>
    <t>The first ready-to-use version "CSA_template_v1"</t>
  </si>
  <si>
    <t>Intial conceptual template for functional deficiency analysis. To be applied @Athena CFWG TLHandling</t>
  </si>
  <si>
    <t>roundabout</t>
  </si>
  <si>
    <t>driving direction across intersection</t>
  </si>
  <si>
    <t>entering roundabout</t>
  </si>
  <si>
    <t>type (est.)</t>
  </si>
  <si>
    <t>distance of car-following</t>
  </si>
  <si>
    <t>traffic volume of car-following</t>
  </si>
  <si>
    <t>driving with parked cars on the roadside</t>
  </si>
  <si>
    <t>boolean/numeric, continuous</t>
  </si>
  <si>
    <t>numeric, continuous/discrete</t>
  </si>
  <si>
    <t>backlight (Gegenlicht)</t>
  </si>
  <si>
    <t>darkness with low residual light</t>
  </si>
  <si>
    <t>sunlight from back</t>
  </si>
  <si>
    <t>road curvature</t>
  </si>
  <si>
    <t>included angle between intersecting lanes</t>
  </si>
  <si>
    <t>other intersection</t>
  </si>
  <si>
    <t>additional light source</t>
  </si>
  <si>
    <t>berries</t>
  </si>
  <si>
    <t>leaves</t>
  </si>
  <si>
    <t>version</t>
  </si>
  <si>
    <t>description</t>
  </si>
  <si>
    <t>date</t>
  </si>
  <si>
    <t>1.1</t>
  </si>
  <si>
    <t>bugfix and new add-ons developed</t>
  </si>
  <si>
    <t>zu viel gegessen</t>
  </si>
  <si>
    <t>zu wenig getrunken</t>
  </si>
  <si>
    <t>longitudinal acceleration</t>
  </si>
  <si>
    <t>longitudinal deceleration</t>
  </si>
  <si>
    <t>continuous line</t>
  </si>
  <si>
    <t>gateway (Ein/Ausfahrt)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</si>
</sst>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orpoS"/>
    </font>
    <font>
      <sz val="11"/>
      <color theme="1"/>
      <name val="CorpoS"/>
    </font>
    <font>
      <sz val="11"/>
      <name val="CorpoS"/>
    </font>
    <font>
      <sz val="11"/>
      <color rgb="FFFF0000"/>
      <name val="CorpoS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orpoS"/>
    </font>
    <font>
      <sz val="11"/>
      <color theme="0"/>
      <name val="CorpoS"/>
    </font>
    <font>
      <sz val="10"/>
      <color theme="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2" fillId="0" borderId="0" xfId="0" applyFont="1" applyFill="1" applyBorder="1"/>
    <xf numFmtId="0" fontId="2" fillId="0" borderId="2" xfId="0" applyFont="1" applyBorder="1"/>
    <xf numFmtId="0" fontId="2" fillId="0" borderId="0" xfId="0" applyFont="1" applyBorder="1" applyAlignment="1">
      <alignment wrapText="1"/>
    </xf>
    <xf numFmtId="0" fontId="2" fillId="0" borderId="1" xfId="0" applyFont="1" applyBorder="1"/>
    <xf numFmtId="0" fontId="5" fillId="0" borderId="0" xfId="0" applyFont="1"/>
    <xf numFmtId="0" fontId="0" fillId="0" borderId="0" xfId="0" applyFill="1"/>
    <xf numFmtId="0" fontId="5" fillId="0" borderId="0" xfId="0" applyFont="1" applyFill="1"/>
    <xf numFmtId="0" fontId="6" fillId="0" borderId="0" xfId="0" applyFont="1" applyFill="1"/>
    <xf numFmtId="0" fontId="9" fillId="0" borderId="0" xfId="0" applyFont="1" applyFill="1" applyBorder="1"/>
    <xf numFmtId="0" fontId="9" fillId="0" borderId="0" xfId="0" applyFont="1" applyBorder="1"/>
    <xf numFmtId="0" fontId="2" fillId="0" borderId="1" xfId="0" applyFont="1" applyBorder="1" applyAlignment="1">
      <alignment wrapText="1"/>
    </xf>
    <xf numFmtId="0" fontId="2" fillId="0" borderId="1" xfId="0" applyFont="1" applyFill="1" applyBorder="1"/>
    <xf numFmtId="0" fontId="2" fillId="0" borderId="10" xfId="0" applyFont="1" applyBorder="1"/>
    <xf numFmtId="0" fontId="2" fillId="0" borderId="10" xfId="0" applyFont="1" applyBorder="1" applyAlignment="1">
      <alignment wrapText="1"/>
    </xf>
    <xf numFmtId="0" fontId="2" fillId="0" borderId="10" xfId="0" applyFont="1" applyFill="1" applyBorder="1"/>
    <xf numFmtId="0" fontId="2" fillId="0" borderId="11" xfId="0" applyFont="1" applyBorder="1"/>
    <xf numFmtId="0" fontId="2" fillId="0" borderId="12" xfId="0" applyFont="1" applyBorder="1"/>
    <xf numFmtId="0" fontId="3" fillId="0" borderId="1" xfId="0" applyFont="1" applyBorder="1" applyAlignment="1">
      <alignment wrapText="1"/>
    </xf>
    <xf numFmtId="0" fontId="3" fillId="0" borderId="1" xfId="0" applyFont="1" applyFill="1" applyBorder="1" applyAlignment="1">
      <alignment wrapText="1"/>
    </xf>
    <xf numFmtId="0" fontId="2" fillId="0" borderId="5" xfId="0" applyFont="1" applyBorder="1" applyAlignment="1">
      <alignment wrapText="1"/>
    </xf>
    <xf numFmtId="0" fontId="2" fillId="4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2" fillId="0" borderId="1" xfId="0" applyFont="1" applyBorder="1" applyAlignment="1"/>
    <xf numFmtId="0" fontId="4" fillId="0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center" wrapText="1"/>
    </xf>
    <xf numFmtId="14" fontId="2" fillId="0" borderId="1" xfId="0" applyNumberFormat="1" applyFont="1" applyBorder="1"/>
    <xf numFmtId="0" fontId="0" fillId="0" borderId="0" xfId="0" applyFont="1"/>
    <xf numFmtId="0" fontId="0" fillId="0" borderId="0" xfId="0" applyFont="1" applyAlignment="1">
      <alignment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 wrapText="1"/>
    </xf>
    <xf numFmtId="0" fontId="8" fillId="0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5" borderId="1" xfId="0" applyFont="1" applyFill="1" applyBorder="1" applyAlignment="1">
      <alignment wrapText="1"/>
    </xf>
    <xf numFmtId="0" fontId="7" fillId="5" borderId="1" xfId="0" applyFont="1" applyFill="1" applyBorder="1" applyAlignment="1">
      <alignment horizontal="center"/>
    </xf>
    <xf numFmtId="0" fontId="10" fillId="0" borderId="0" xfId="0" applyFont="1" applyBorder="1"/>
    <xf numFmtId="49" fontId="2" fillId="0" borderId="1" xfId="1" applyNumberFormat="1" applyFont="1" applyBorder="1"/>
    <xf numFmtId="0" fontId="1" fillId="3" borderId="4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175260</xdr:colOff>
      <xdr:row>16</xdr:row>
      <xdr:rowOff>121920</xdr:rowOff>
    </xdr:from>
    <xdr:to>
      <xdr:col>1</xdr:col>
      <xdr:colOff>3543300</xdr:colOff>
      <xdr:row>25</xdr:row>
      <xdr:rowOff>121920</xdr:rowOff>
    </xdr:to>
    <xdr:grpSp>
      <xdr:nvGrpSpPr>
        <xdr:cNvPr id="3" name="Group 2"/>
        <xdr:cNvGrpSpPr/>
      </xdr:nvGrpSpPr>
      <xdr:grpSpPr>
        <a:xfrm>
          <a:off x="685800" y="2964180"/>
          <a:ext cx="3368040" cy="1577340"/>
          <a:chOff x="861956" y="2005354"/>
          <a:chExt cx="2886502" cy="1697375"/>
        </a:xfrm>
        <a:solidFill>
          <a:schemeClr val="accent3">
            <a:lumMod val="60000"/>
            <a:lumOff val="40000"/>
          </a:schemeClr>
        </a:solidFill>
      </xdr:grpSpPr>
      <xdr:sp macro="" textlink="">
        <xdr:nvSpPr>
          <xdr:cNvPr id="2" name="Frame 1"/>
          <xdr:cNvSpPr/>
        </xdr:nvSpPr>
        <xdr:spPr>
          <a:xfrm>
            <a:off x="861956" y="2005354"/>
            <a:ext cx="2886502" cy="1697375"/>
          </a:xfrm>
          <a:prstGeom prst="foldedCorner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de-DE" sz="1600">
              <a:solidFill>
                <a:sysClr val="windowText" lastClr="000000"/>
              </a:solidFill>
              <a:latin typeface="CorpoA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 bwMode="auto">
              <a:xfrm>
                <a:off x="1021348" y="2979419"/>
                <a:ext cx="1069707" cy="5399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Delete</a:t>
                </a:r>
              </a:p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Use Case Specifier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</a:extLst>
              </xdr:cNvPr>
              <xdr:cNvSpPr/>
            </xdr:nvSpPr>
            <xdr:spPr bwMode="auto">
              <a:xfrm>
                <a:off x="1025053" y="2193283"/>
                <a:ext cx="1071494" cy="5126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 New sheet</a:t>
                </a:r>
              </a:p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Use Case Specifier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 bwMode="auto">
              <a:xfrm>
                <a:off x="2335848" y="2984754"/>
                <a:ext cx="1118735" cy="5420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Delete</a:t>
                </a:r>
              </a:p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 KB (preprocessing)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</a:extLst>
              </xdr:cNvPr>
              <xdr:cNvSpPr/>
            </xdr:nvSpPr>
            <xdr:spPr bwMode="auto">
              <a:xfrm>
                <a:off x="2343248" y="2199914"/>
                <a:ext cx="1111335" cy="5216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New sheet</a:t>
                </a:r>
              </a:p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KB (preprocessing)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"/>
  <sheetViews>
    <sheetView workbookViewId="0">
      <selection activeCell="A5" sqref="A5"/>
    </sheetView>
  </sheetViews>
  <sheetFormatPr defaultColWidth="8.88671875" defaultRowHeight="14.4" x14ac:dyDescent="0.3"/>
  <cols>
    <col min="1" max="1" width="9.5546875" style="28" customWidth="1"/>
    <col min="2" max="2" width="72.5546875" style="29" customWidth="1"/>
    <col min="3" max="3" width="16.6640625" style="28" bestFit="1" customWidth="1"/>
    <col min="4" max="4" width="11.6640625" style="28" bestFit="1" customWidth="1"/>
  </cols>
  <sheetData>
    <row r="1" spans="1:4" s="32" customFormat="1" x14ac:dyDescent="0.3">
      <c r="A1" s="30" t="s">
        <v>180</v>
      </c>
      <c r="B1" s="31" t="s">
        <v>181</v>
      </c>
      <c r="C1" s="30" t="s">
        <v>152</v>
      </c>
      <c r="D1" s="30" t="s">
        <v>182</v>
      </c>
    </row>
    <row r="2" spans="1:4" ht="36.6" customHeight="1" x14ac:dyDescent="0.3">
      <c r="A2" s="5" t="s">
        <v>153</v>
      </c>
      <c r="B2" s="12" t="s">
        <v>161</v>
      </c>
      <c r="C2" s="5" t="s">
        <v>154</v>
      </c>
      <c r="D2" s="27">
        <v>43025</v>
      </c>
    </row>
    <row r="3" spans="1:4" x14ac:dyDescent="0.3">
      <c r="A3" s="5" t="s">
        <v>155</v>
      </c>
      <c r="B3" s="12" t="s">
        <v>159</v>
      </c>
      <c r="C3" s="5" t="s">
        <v>156</v>
      </c>
      <c r="D3" s="27">
        <v>43341</v>
      </c>
    </row>
    <row r="4" spans="1:4" x14ac:dyDescent="0.3">
      <c r="A4" s="5" t="s">
        <v>157</v>
      </c>
      <c r="B4" s="12" t="s">
        <v>160</v>
      </c>
      <c r="C4" s="5" t="s">
        <v>154</v>
      </c>
      <c r="D4" s="27">
        <v>43382</v>
      </c>
    </row>
    <row r="5" spans="1:4" x14ac:dyDescent="0.3">
      <c r="A5" s="44" t="s">
        <v>183</v>
      </c>
      <c r="B5" s="12" t="s">
        <v>184</v>
      </c>
      <c r="C5" s="5" t="s">
        <v>156</v>
      </c>
      <c r="D5" s="27">
        <v>43392</v>
      </c>
    </row>
    <row r="6" spans="1:4" x14ac:dyDescent="0.3">
      <c r="A6" s="5"/>
      <c r="B6" s="12"/>
      <c r="C6" s="5"/>
      <c r="D6" s="5"/>
    </row>
    <row r="7" spans="1:4" x14ac:dyDescent="0.3">
      <c r="A7" s="5"/>
      <c r="B7" s="12"/>
      <c r="C7" s="5"/>
      <c r="D7" s="5"/>
    </row>
    <row r="8" spans="1:4" x14ac:dyDescent="0.3">
      <c r="A8" s="5"/>
      <c r="B8" s="12"/>
      <c r="C8" s="5"/>
      <c r="D8" s="5"/>
    </row>
    <row r="9" spans="1:4" x14ac:dyDescent="0.3">
      <c r="A9" s="5"/>
      <c r="B9" s="12"/>
      <c r="C9" s="5"/>
      <c r="D9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F136"/>
  <sheetViews>
    <sheetView topLeftCell="F1" zoomScaleNormal="100" workbookViewId="0">
      <pane ySplit="1" topLeftCell="A2" activePane="bottomLeft" state="frozen"/>
      <selection activeCell="E1" sqref="E1"/>
      <selection pane="bottomLeft" activeCell="F2" sqref="F2"/>
    </sheetView>
  </sheetViews>
  <sheetFormatPr defaultColWidth="11.5546875" defaultRowHeight="14.4" x14ac:dyDescent="0.3"/>
  <cols>
    <col min="1" max="1" width="25.6640625" style="21" customWidth="1"/>
    <col min="2" max="5" width="25.6640625" style="4" customWidth="1"/>
    <col min="6" max="6" width="88.33203125" style="9" bestFit="1" customWidth="1"/>
    <col min="7" max="8" width="11.5546875" style="7" customWidth="1"/>
    <col min="9" max="32" width="11.5546875" style="7"/>
  </cols>
  <sheetData>
    <row r="1" spans="1:6" x14ac:dyDescent="0.3">
      <c r="A1" s="26" t="s">
        <v>101</v>
      </c>
      <c r="B1" s="45" t="s">
        <v>102</v>
      </c>
      <c r="C1" s="46"/>
      <c r="D1" s="26" t="s">
        <v>103</v>
      </c>
      <c r="E1" s="26" t="s">
        <v>165</v>
      </c>
      <c r="F1" s="42" t="s">
        <v>149</v>
      </c>
    </row>
    <row r="2" spans="1:6" x14ac:dyDescent="0.3">
      <c r="A2" s="12" t="s">
        <v>104</v>
      </c>
      <c r="B2" s="12"/>
      <c r="C2" s="12"/>
      <c r="D2" s="12" t="s">
        <v>2</v>
      </c>
      <c r="E2" s="12" t="s">
        <v>105</v>
      </c>
      <c r="F2" s="12" t="str">
        <f>A2&amp;"."&amp;D2</f>
        <v>location.highway</v>
      </c>
    </row>
    <row r="3" spans="1:6" x14ac:dyDescent="0.3">
      <c r="A3" s="12" t="s">
        <v>104</v>
      </c>
      <c r="B3" s="12"/>
      <c r="C3" s="12"/>
      <c r="D3" s="12" t="s">
        <v>3</v>
      </c>
      <c r="E3" s="12" t="s">
        <v>105</v>
      </c>
      <c r="F3" s="12" t="str">
        <f t="shared" ref="F3:F19" si="0">A3&amp;"."&amp;D3</f>
        <v>location.highway entrance</v>
      </c>
    </row>
    <row r="4" spans="1:6" x14ac:dyDescent="0.3">
      <c r="A4" s="12" t="s">
        <v>104</v>
      </c>
      <c r="B4" s="12"/>
      <c r="C4" s="12"/>
      <c r="D4" s="12" t="s">
        <v>4</v>
      </c>
      <c r="E4" s="12" t="s">
        <v>105</v>
      </c>
      <c r="F4" s="12" t="str">
        <f t="shared" si="0"/>
        <v>location.highway exit</v>
      </c>
    </row>
    <row r="5" spans="1:6" x14ac:dyDescent="0.3">
      <c r="A5" s="12" t="s">
        <v>104</v>
      </c>
      <c r="B5" s="12"/>
      <c r="C5" s="12"/>
      <c r="D5" s="12" t="s">
        <v>5</v>
      </c>
      <c r="E5" s="12" t="s">
        <v>105</v>
      </c>
      <c r="F5" s="12" t="str">
        <f t="shared" si="0"/>
        <v>location.highway end</v>
      </c>
    </row>
    <row r="6" spans="1:6" x14ac:dyDescent="0.3">
      <c r="A6" s="12" t="s">
        <v>104</v>
      </c>
      <c r="B6" s="12"/>
      <c r="C6" s="12"/>
      <c r="D6" s="12" t="s">
        <v>6</v>
      </c>
      <c r="E6" s="12" t="s">
        <v>105</v>
      </c>
      <c r="F6" s="12" t="str">
        <f t="shared" si="0"/>
        <v>location.country road</v>
      </c>
    </row>
    <row r="7" spans="1:6" x14ac:dyDescent="0.3">
      <c r="A7" s="12" t="s">
        <v>104</v>
      </c>
      <c r="B7" s="12"/>
      <c r="C7" s="12"/>
      <c r="D7" s="12" t="s">
        <v>7</v>
      </c>
      <c r="E7" s="12" t="s">
        <v>105</v>
      </c>
      <c r="F7" s="12" t="str">
        <f t="shared" si="0"/>
        <v>location.city</v>
      </c>
    </row>
    <row r="8" spans="1:6" x14ac:dyDescent="0.3">
      <c r="A8" s="12" t="s">
        <v>104</v>
      </c>
      <c r="B8" s="12"/>
      <c r="C8" s="12"/>
      <c r="D8" s="12" t="s">
        <v>8</v>
      </c>
      <c r="E8" s="12" t="s">
        <v>105</v>
      </c>
      <c r="F8" s="12" t="str">
        <f t="shared" si="0"/>
        <v>location.mountain pass</v>
      </c>
    </row>
    <row r="9" spans="1:6" x14ac:dyDescent="0.3">
      <c r="A9" s="12" t="s">
        <v>104</v>
      </c>
      <c r="B9" s="12"/>
      <c r="C9" s="12"/>
      <c r="D9" s="12" t="s">
        <v>9</v>
      </c>
      <c r="E9" s="12" t="s">
        <v>105</v>
      </c>
      <c r="F9" s="12" t="str">
        <f t="shared" si="0"/>
        <v>location.traffic-calmed sector</v>
      </c>
    </row>
    <row r="10" spans="1:6" x14ac:dyDescent="0.3">
      <c r="A10" s="12" t="s">
        <v>104</v>
      </c>
      <c r="B10" s="12"/>
      <c r="C10" s="12"/>
      <c r="D10" s="12" t="s">
        <v>10</v>
      </c>
      <c r="E10" s="12" t="s">
        <v>105</v>
      </c>
      <c r="F10" s="12" t="str">
        <f t="shared" si="0"/>
        <v>location.30 zone</v>
      </c>
    </row>
    <row r="11" spans="1:6" x14ac:dyDescent="0.3">
      <c r="A11" s="12" t="s">
        <v>104</v>
      </c>
      <c r="B11" s="12"/>
      <c r="C11" s="12"/>
      <c r="D11" s="12" t="s">
        <v>11</v>
      </c>
      <c r="E11" s="12" t="s">
        <v>105</v>
      </c>
      <c r="F11" s="12" t="str">
        <f t="shared" si="0"/>
        <v>location.one way road</v>
      </c>
    </row>
    <row r="12" spans="1:6" x14ac:dyDescent="0.3">
      <c r="A12" s="12" t="s">
        <v>104</v>
      </c>
      <c r="B12" s="12"/>
      <c r="C12" s="12"/>
      <c r="D12" s="12" t="s">
        <v>12</v>
      </c>
      <c r="E12" s="12" t="s">
        <v>105</v>
      </c>
      <c r="F12" s="12" t="str">
        <f t="shared" si="0"/>
        <v>location.offroad</v>
      </c>
    </row>
    <row r="13" spans="1:6" ht="28.2" x14ac:dyDescent="0.3">
      <c r="A13" s="12" t="s">
        <v>104</v>
      </c>
      <c r="B13" s="12"/>
      <c r="C13" s="12"/>
      <c r="D13" s="12" t="s">
        <v>13</v>
      </c>
      <c r="E13" s="12" t="s">
        <v>105</v>
      </c>
      <c r="F13" s="12" t="str">
        <f t="shared" si="0"/>
        <v>location.construction zone with structural separation</v>
      </c>
    </row>
    <row r="14" spans="1:6" ht="28.2" x14ac:dyDescent="0.3">
      <c r="A14" s="12" t="s">
        <v>104</v>
      </c>
      <c r="B14" s="12"/>
      <c r="C14" s="12"/>
      <c r="D14" s="12" t="s">
        <v>14</v>
      </c>
      <c r="E14" s="12" t="s">
        <v>105</v>
      </c>
      <c r="F14" s="12" t="str">
        <f t="shared" si="0"/>
        <v>location.construction zone without structural separation</v>
      </c>
    </row>
    <row r="15" spans="1:6" x14ac:dyDescent="0.3">
      <c r="A15" s="12" t="s">
        <v>104</v>
      </c>
      <c r="B15" s="12"/>
      <c r="C15" s="12"/>
      <c r="D15" s="12" t="s">
        <v>15</v>
      </c>
      <c r="E15" s="12" t="s">
        <v>105</v>
      </c>
      <c r="F15" s="12" t="str">
        <f t="shared" si="0"/>
        <v>location.tunnel</v>
      </c>
    </row>
    <row r="16" spans="1:6" x14ac:dyDescent="0.3">
      <c r="A16" s="12" t="s">
        <v>104</v>
      </c>
      <c r="B16" s="12"/>
      <c r="C16" s="12"/>
      <c r="D16" s="12" t="s">
        <v>16</v>
      </c>
      <c r="E16" s="12" t="s">
        <v>105</v>
      </c>
      <c r="F16" s="12" t="str">
        <f t="shared" si="0"/>
        <v>location.railway crossing</v>
      </c>
    </row>
    <row r="17" spans="1:32" x14ac:dyDescent="0.3">
      <c r="A17" s="12" t="s">
        <v>104</v>
      </c>
      <c r="B17" s="12"/>
      <c r="C17" s="12"/>
      <c r="D17" s="12" t="s">
        <v>17</v>
      </c>
      <c r="E17" s="12" t="s">
        <v>105</v>
      </c>
      <c r="F17" s="12" t="str">
        <f t="shared" si="0"/>
        <v>location.parking area</v>
      </c>
    </row>
    <row r="18" spans="1:32" x14ac:dyDescent="0.3">
      <c r="A18" s="12" t="s">
        <v>104</v>
      </c>
      <c r="B18" s="12"/>
      <c r="C18" s="12"/>
      <c r="D18" s="12" t="s">
        <v>18</v>
      </c>
      <c r="E18" s="12" t="s">
        <v>105</v>
      </c>
      <c r="F18" s="12" t="str">
        <f t="shared" si="0"/>
        <v>location.toll station or border station</v>
      </c>
    </row>
    <row r="19" spans="1:32" x14ac:dyDescent="0.3">
      <c r="A19" s="12" t="s">
        <v>104</v>
      </c>
      <c r="B19" s="12"/>
      <c r="C19" s="12"/>
      <c r="D19" s="12" t="s">
        <v>162</v>
      </c>
      <c r="E19" s="12" t="s">
        <v>105</v>
      </c>
      <c r="F19" s="12" t="str">
        <f t="shared" si="0"/>
        <v>location.roundabout</v>
      </c>
    </row>
    <row r="20" spans="1:32" collapsed="1" x14ac:dyDescent="0.3">
      <c r="A20" s="22"/>
      <c r="B20" s="22"/>
      <c r="C20" s="22"/>
      <c r="D20" s="22"/>
      <c r="E20" s="22"/>
      <c r="F20" s="41"/>
    </row>
    <row r="21" spans="1:32" ht="28.2" x14ac:dyDescent="0.3">
      <c r="A21" s="12" t="s">
        <v>106</v>
      </c>
      <c r="B21" s="12" t="s">
        <v>107</v>
      </c>
      <c r="C21" s="12"/>
      <c r="D21" s="12" t="s">
        <v>19</v>
      </c>
      <c r="E21" s="12" t="s">
        <v>105</v>
      </c>
      <c r="F21" s="12" t="str">
        <f>A21&amp;"."&amp;B21&amp;"."&amp;D21</f>
        <v>traffic situation.parking.parking in / parking out (pull-out) - longitudinally</v>
      </c>
    </row>
    <row r="22" spans="1:32" ht="28.2" x14ac:dyDescent="0.3">
      <c r="A22" s="12" t="s">
        <v>106</v>
      </c>
      <c r="B22" s="12" t="s">
        <v>107</v>
      </c>
      <c r="C22" s="12"/>
      <c r="D22" s="12" t="s">
        <v>20</v>
      </c>
      <c r="E22" s="12" t="s">
        <v>105</v>
      </c>
      <c r="F22" s="12" t="str">
        <f t="shared" ref="F22:F37" si="1">A22&amp;"."&amp;B22&amp;"."&amp;D22</f>
        <v>traffic situation.parking.parking in / parking out (pull-out) - transversely</v>
      </c>
    </row>
    <row r="23" spans="1:32" s="6" customFormat="1" ht="28.2" x14ac:dyDescent="0.3">
      <c r="A23" s="19" t="s">
        <v>106</v>
      </c>
      <c r="B23" s="20" t="s">
        <v>108</v>
      </c>
      <c r="C23" s="25"/>
      <c r="D23" s="12" t="s">
        <v>21</v>
      </c>
      <c r="E23" s="12" t="s">
        <v>105</v>
      </c>
      <c r="F23" s="12" t="str">
        <f t="shared" si="1"/>
        <v>traffic situation.stopping procedure.stopping on a hill (with inclination)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1:32" ht="28.2" x14ac:dyDescent="0.3">
      <c r="A24" s="12" t="s">
        <v>106</v>
      </c>
      <c r="B24" s="12" t="s">
        <v>108</v>
      </c>
      <c r="C24" s="12"/>
      <c r="D24" s="12" t="s">
        <v>22</v>
      </c>
      <c r="E24" s="12" t="s">
        <v>105</v>
      </c>
      <c r="F24" s="12" t="str">
        <f t="shared" si="1"/>
        <v>traffic situation.stopping procedure.stopping on the road in 1st place</v>
      </c>
    </row>
    <row r="25" spans="1:32" ht="28.2" x14ac:dyDescent="0.3">
      <c r="A25" s="12" t="s">
        <v>106</v>
      </c>
      <c r="B25" s="12" t="s">
        <v>108</v>
      </c>
      <c r="C25" s="12"/>
      <c r="D25" s="12" t="s">
        <v>23</v>
      </c>
      <c r="E25" s="12" t="s">
        <v>105</v>
      </c>
      <c r="F25" s="12" t="str">
        <f t="shared" si="1"/>
        <v>traffic situation.stopping procedure.stopping on the road behind front vehicle</v>
      </c>
    </row>
    <row r="26" spans="1:32" x14ac:dyDescent="0.3">
      <c r="A26" s="12" t="s">
        <v>106</v>
      </c>
      <c r="B26" s="12" t="s">
        <v>108</v>
      </c>
      <c r="C26" s="12"/>
      <c r="D26" s="12" t="s">
        <v>24</v>
      </c>
      <c r="E26" s="12" t="s">
        <v>105</v>
      </c>
      <c r="F26" s="12" t="str">
        <f t="shared" si="1"/>
        <v>traffic situation.stopping procedure.stopping on the stopping sign</v>
      </c>
    </row>
    <row r="27" spans="1:32" x14ac:dyDescent="0.3">
      <c r="A27" s="12" t="s">
        <v>106</v>
      </c>
      <c r="B27" s="12" t="s">
        <v>108</v>
      </c>
      <c r="C27" s="12"/>
      <c r="D27" s="12" t="s">
        <v>25</v>
      </c>
      <c r="E27" s="12" t="s">
        <v>105</v>
      </c>
      <c r="F27" s="12" t="str">
        <f t="shared" si="1"/>
        <v>traffic situation.stopping procedure.stopping in front of crosswalk</v>
      </c>
    </row>
    <row r="28" spans="1:32" ht="28.2" x14ac:dyDescent="0.3">
      <c r="A28" s="12" t="s">
        <v>106</v>
      </c>
      <c r="B28" s="12" t="s">
        <v>108</v>
      </c>
      <c r="C28" s="12"/>
      <c r="D28" s="12" t="s">
        <v>26</v>
      </c>
      <c r="E28" s="12" t="s">
        <v>105</v>
      </c>
      <c r="F28" s="12" t="str">
        <f t="shared" si="1"/>
        <v>traffic situation.stopping procedure.stopping in front of traffic light</v>
      </c>
    </row>
    <row r="29" spans="1:32" ht="28.2" x14ac:dyDescent="0.3">
      <c r="A29" s="12" t="s">
        <v>106</v>
      </c>
      <c r="B29" s="12" t="s">
        <v>110</v>
      </c>
      <c r="C29" s="12"/>
      <c r="D29" s="23" t="s">
        <v>163</v>
      </c>
      <c r="E29" s="12" t="s">
        <v>105</v>
      </c>
      <c r="F29" s="12" t="str">
        <f t="shared" si="1"/>
        <v>traffic situation.intersection situation.driving direction across intersection</v>
      </c>
    </row>
    <row r="30" spans="1:32" x14ac:dyDescent="0.3">
      <c r="A30" s="12" t="s">
        <v>106</v>
      </c>
      <c r="B30" s="12" t="s">
        <v>110</v>
      </c>
      <c r="C30" s="12"/>
      <c r="D30" s="23" t="s">
        <v>164</v>
      </c>
      <c r="E30" s="12" t="s">
        <v>105</v>
      </c>
      <c r="F30" s="12" t="str">
        <f t="shared" si="1"/>
        <v>traffic situation.intersection situation.entering roundabout</v>
      </c>
    </row>
    <row r="31" spans="1:32" x14ac:dyDescent="0.3">
      <c r="A31" s="12" t="s">
        <v>106</v>
      </c>
      <c r="B31" s="12" t="s">
        <v>110</v>
      </c>
      <c r="C31" s="12"/>
      <c r="D31" s="23" t="s">
        <v>27</v>
      </c>
      <c r="E31" s="12" t="s">
        <v>105</v>
      </c>
      <c r="F31" s="12" t="str">
        <f t="shared" si="1"/>
        <v>traffic situation.intersection situation.entering priority road</v>
      </c>
    </row>
    <row r="32" spans="1:32" x14ac:dyDescent="0.3">
      <c r="A32" s="12" t="s">
        <v>106</v>
      </c>
      <c r="B32" s="12" t="s">
        <v>111</v>
      </c>
      <c r="C32" s="12"/>
      <c r="D32" s="12" t="s">
        <v>28</v>
      </c>
      <c r="E32" s="12" t="s">
        <v>105</v>
      </c>
      <c r="F32" s="12" t="str">
        <f t="shared" si="1"/>
        <v>traffic situation.traffic state.free lane-following</v>
      </c>
    </row>
    <row r="33" spans="1:32" x14ac:dyDescent="0.3">
      <c r="A33" s="12" t="s">
        <v>106</v>
      </c>
      <c r="B33" s="12" t="s">
        <v>111</v>
      </c>
      <c r="C33" s="12"/>
      <c r="D33" s="23" t="s">
        <v>166</v>
      </c>
      <c r="E33" s="12" t="s">
        <v>109</v>
      </c>
      <c r="F33" s="12" t="str">
        <f t="shared" si="1"/>
        <v>traffic situation.traffic state.distance of car-following</v>
      </c>
    </row>
    <row r="34" spans="1:32" x14ac:dyDescent="0.3">
      <c r="A34" s="12" t="s">
        <v>106</v>
      </c>
      <c r="B34" s="12" t="s">
        <v>111</v>
      </c>
      <c r="C34" s="12"/>
      <c r="D34" s="23" t="s">
        <v>167</v>
      </c>
      <c r="E34" s="12" t="s">
        <v>170</v>
      </c>
      <c r="F34" s="12" t="str">
        <f t="shared" si="1"/>
        <v>traffic situation.traffic state.traffic volume of car-following</v>
      </c>
    </row>
    <row r="35" spans="1:32" ht="28.2" x14ac:dyDescent="0.3">
      <c r="A35" s="12" t="s">
        <v>106</v>
      </c>
      <c r="B35" s="12" t="s">
        <v>111</v>
      </c>
      <c r="C35" s="12"/>
      <c r="D35" s="12" t="s">
        <v>168</v>
      </c>
      <c r="E35" s="12" t="s">
        <v>169</v>
      </c>
      <c r="F35" s="12" t="str">
        <f t="shared" si="1"/>
        <v>traffic situation.traffic state.driving with parked cars on the roadside</v>
      </c>
    </row>
    <row r="36" spans="1:32" ht="28.2" x14ac:dyDescent="0.3">
      <c r="A36" s="12" t="s">
        <v>106</v>
      </c>
      <c r="B36" s="12" t="s">
        <v>111</v>
      </c>
      <c r="C36" s="12"/>
      <c r="D36" s="12" t="s">
        <v>29</v>
      </c>
      <c r="E36" s="12" t="s">
        <v>105</v>
      </c>
      <c r="F36" s="12" t="str">
        <f t="shared" si="1"/>
        <v>traffic situation.traffic state.driving with oncoming traffic in sight</v>
      </c>
    </row>
    <row r="37" spans="1:32" ht="28.2" x14ac:dyDescent="0.3">
      <c r="A37" s="12" t="s">
        <v>106</v>
      </c>
      <c r="B37" s="12" t="s">
        <v>111</v>
      </c>
      <c r="C37" s="12"/>
      <c r="D37" s="12" t="s">
        <v>30</v>
      </c>
      <c r="E37" s="12" t="s">
        <v>109</v>
      </c>
      <c r="F37" s="12" t="str">
        <f t="shared" si="1"/>
        <v>traffic situation.traffic state.driving with unexpected traffic jam</v>
      </c>
    </row>
    <row r="38" spans="1:32" collapsed="1" x14ac:dyDescent="0.3">
      <c r="A38" s="22"/>
      <c r="B38" s="22"/>
      <c r="C38" s="22"/>
      <c r="D38" s="22"/>
      <c r="E38" s="22"/>
      <c r="F38" s="41"/>
    </row>
    <row r="39" spans="1:32" x14ac:dyDescent="0.3">
      <c r="A39" s="12" t="s">
        <v>113</v>
      </c>
      <c r="B39" s="12"/>
      <c r="C39" s="12"/>
      <c r="D39" s="12" t="s">
        <v>31</v>
      </c>
      <c r="E39" s="12" t="s">
        <v>109</v>
      </c>
      <c r="F39" s="12" t="str">
        <f>A39&amp;"."&amp;D39</f>
        <v>state of ego-motion.velocity</v>
      </c>
      <c r="AF39"/>
    </row>
    <row r="40" spans="1:32" x14ac:dyDescent="0.3">
      <c r="A40" s="12" t="s">
        <v>113</v>
      </c>
      <c r="B40" s="12"/>
      <c r="C40" s="12"/>
      <c r="D40" s="12" t="s">
        <v>32</v>
      </c>
      <c r="E40" s="12" t="s">
        <v>109</v>
      </c>
      <c r="F40" s="12" t="str">
        <f>A40&amp;"."&amp;D40</f>
        <v>state of ego-motion.lateral acceleration</v>
      </c>
      <c r="AF40"/>
    </row>
    <row r="41" spans="1:32" x14ac:dyDescent="0.3">
      <c r="A41" s="12" t="s">
        <v>113</v>
      </c>
      <c r="B41" s="12"/>
      <c r="C41" s="12"/>
      <c r="D41" s="12" t="s">
        <v>187</v>
      </c>
      <c r="E41" s="12" t="s">
        <v>109</v>
      </c>
      <c r="F41" s="12" t="str">
        <f>A41&amp;"."&amp;D41</f>
        <v>state of ego-motion.longitudinal acceleration</v>
      </c>
      <c r="AF41"/>
    </row>
    <row r="42" spans="1:32" x14ac:dyDescent="0.3">
      <c r="A42" s="12" t="s">
        <v>113</v>
      </c>
      <c r="B42" s="12"/>
      <c r="C42" s="12"/>
      <c r="D42" s="12" t="s">
        <v>188</v>
      </c>
      <c r="E42" s="12" t="s">
        <v>109</v>
      </c>
      <c r="F42" s="12" t="str">
        <f>A42&amp;"."&amp;D42</f>
        <v>state of ego-motion.longitudinal deceleration</v>
      </c>
      <c r="AF42"/>
    </row>
    <row r="43" spans="1:32" ht="28.2" x14ac:dyDescent="0.3">
      <c r="A43" s="12" t="s">
        <v>113</v>
      </c>
      <c r="B43" s="12" t="s">
        <v>114</v>
      </c>
      <c r="C43" s="12"/>
      <c r="D43" s="12" t="s">
        <v>33</v>
      </c>
      <c r="E43" s="12" t="s">
        <v>112</v>
      </c>
      <c r="F43" s="12" t="str">
        <f>A43&amp;"."&amp;B43&amp;"."&amp;D43</f>
        <v>state of ego-motion.special maneuvers.evasive maneuver</v>
      </c>
      <c r="AF43"/>
    </row>
    <row r="44" spans="1:32" ht="28.2" x14ac:dyDescent="0.3">
      <c r="A44" s="12" t="s">
        <v>113</v>
      </c>
      <c r="B44" s="12" t="s">
        <v>114</v>
      </c>
      <c r="C44" s="12"/>
      <c r="D44" s="12" t="s">
        <v>34</v>
      </c>
      <c r="E44" s="12" t="s">
        <v>112</v>
      </c>
      <c r="F44" s="12" t="str">
        <f>A44&amp;"."&amp;B44&amp;"."&amp;D44</f>
        <v>state of ego-motion.special maneuvers.lane change</v>
      </c>
      <c r="AF44"/>
    </row>
    <row r="45" spans="1:32" ht="28.2" x14ac:dyDescent="0.3">
      <c r="A45" s="12" t="s">
        <v>113</v>
      </c>
      <c r="B45" s="12" t="s">
        <v>114</v>
      </c>
      <c r="C45" s="12"/>
      <c r="D45" s="12" t="s">
        <v>35</v>
      </c>
      <c r="E45" s="12" t="s">
        <v>112</v>
      </c>
      <c r="F45" s="12" t="str">
        <f>A45&amp;"."&amp;B45&amp;"."&amp;D45</f>
        <v>state of ego-motion.special maneuvers.driving reversly</v>
      </c>
      <c r="AF45"/>
    </row>
    <row r="46" spans="1:32" ht="28.2" x14ac:dyDescent="0.3">
      <c r="A46" s="12" t="s">
        <v>113</v>
      </c>
      <c r="B46" s="12" t="s">
        <v>114</v>
      </c>
      <c r="C46" s="12"/>
      <c r="D46" s="12" t="s">
        <v>36</v>
      </c>
      <c r="E46" s="12" t="s">
        <v>112</v>
      </c>
      <c r="F46" s="12" t="str">
        <f>A46&amp;"."&amp;B46&amp;"."&amp;D46</f>
        <v>state of ego-motion.special maneuvers.rapid load changing</v>
      </c>
      <c r="AF46"/>
    </row>
    <row r="47" spans="1:32" ht="28.2" x14ac:dyDescent="0.3">
      <c r="A47" s="12" t="s">
        <v>113</v>
      </c>
      <c r="B47" s="12" t="s">
        <v>114</v>
      </c>
      <c r="C47" s="12"/>
      <c r="D47" s="12" t="s">
        <v>37</v>
      </c>
      <c r="E47" s="12" t="s">
        <v>112</v>
      </c>
      <c r="F47" s="12" t="str">
        <f>A47&amp;"."&amp;B47&amp;"."&amp;D47</f>
        <v>state of ego-motion.special maneuvers.overtaking maneuver with lane change to opposite lane</v>
      </c>
      <c r="AF47"/>
    </row>
    <row r="48" spans="1:32" collapsed="1" x14ac:dyDescent="0.3">
      <c r="A48" s="22"/>
      <c r="B48" s="22"/>
      <c r="C48" s="22"/>
      <c r="D48" s="22"/>
      <c r="E48" s="22"/>
      <c r="F48" s="41"/>
      <c r="AF48"/>
    </row>
    <row r="49" spans="1:32" x14ac:dyDescent="0.3">
      <c r="A49" s="12" t="s">
        <v>115</v>
      </c>
      <c r="B49" s="12" t="s">
        <v>116</v>
      </c>
      <c r="C49" s="12"/>
      <c r="D49" s="12" t="s">
        <v>38</v>
      </c>
      <c r="E49" s="12" t="s">
        <v>109</v>
      </c>
      <c r="F49" s="12" t="str">
        <f t="shared" ref="F49:F69" si="2">A49&amp;"."&amp;B49&amp;"."&amp;D49</f>
        <v>environmental conditions.climatic conditions.crosswind</v>
      </c>
      <c r="AF49"/>
    </row>
    <row r="50" spans="1:32" x14ac:dyDescent="0.3">
      <c r="A50" s="12" t="s">
        <v>115</v>
      </c>
      <c r="B50" s="12" t="s">
        <v>116</v>
      </c>
      <c r="C50" s="12"/>
      <c r="D50" s="12" t="s">
        <v>39</v>
      </c>
      <c r="E50" s="12" t="s">
        <v>109</v>
      </c>
      <c r="F50" s="12" t="str">
        <f t="shared" si="2"/>
        <v>environmental conditions.climatic conditions.temperature</v>
      </c>
      <c r="AF50"/>
    </row>
    <row r="51" spans="1:32" x14ac:dyDescent="0.3">
      <c r="A51" s="12" t="s">
        <v>115</v>
      </c>
      <c r="B51" s="12" t="s">
        <v>116</v>
      </c>
      <c r="C51" s="12"/>
      <c r="D51" s="12" t="s">
        <v>40</v>
      </c>
      <c r="E51" s="12" t="s">
        <v>109</v>
      </c>
      <c r="F51" s="12" t="str">
        <f t="shared" si="2"/>
        <v>environmental conditions.climatic conditions.rain</v>
      </c>
      <c r="AF51"/>
    </row>
    <row r="52" spans="1:32" ht="28.2" x14ac:dyDescent="0.3">
      <c r="A52" s="12" t="s">
        <v>115</v>
      </c>
      <c r="B52" s="12" t="s">
        <v>117</v>
      </c>
      <c r="C52" s="12"/>
      <c r="D52" s="12" t="s">
        <v>41</v>
      </c>
      <c r="E52" s="12" t="s">
        <v>112</v>
      </c>
      <c r="F52" s="12" t="str">
        <f t="shared" si="2"/>
        <v>environmental conditions.poor visibility.poor visibility through windshield</v>
      </c>
      <c r="AF52"/>
    </row>
    <row r="53" spans="1:32" ht="28.2" x14ac:dyDescent="0.3">
      <c r="A53" s="12" t="s">
        <v>115</v>
      </c>
      <c r="B53" s="12" t="s">
        <v>117</v>
      </c>
      <c r="C53" s="12"/>
      <c r="D53" s="12" t="s">
        <v>42</v>
      </c>
      <c r="E53" s="12" t="s">
        <v>112</v>
      </c>
      <c r="F53" s="12" t="str">
        <f t="shared" si="2"/>
        <v>environmental conditions.poor visibility.poor visibility through the rear window</v>
      </c>
      <c r="AF53"/>
    </row>
    <row r="54" spans="1:32" ht="28.2" x14ac:dyDescent="0.3">
      <c r="A54" s="12" t="s">
        <v>115</v>
      </c>
      <c r="B54" s="12" t="s">
        <v>117</v>
      </c>
      <c r="C54" s="12"/>
      <c r="D54" s="12" t="s">
        <v>43</v>
      </c>
      <c r="E54" s="12" t="s">
        <v>112</v>
      </c>
      <c r="F54" s="12" t="str">
        <f t="shared" si="2"/>
        <v>environmental conditions.poor visibility.poor visibility through the side windows</v>
      </c>
      <c r="AF54"/>
    </row>
    <row r="55" spans="1:32" ht="28.2" x14ac:dyDescent="0.3">
      <c r="A55" s="12" t="s">
        <v>115</v>
      </c>
      <c r="B55" s="12" t="s">
        <v>117</v>
      </c>
      <c r="C55" s="12"/>
      <c r="D55" s="12" t="s">
        <v>44</v>
      </c>
      <c r="E55" s="12" t="s">
        <v>112</v>
      </c>
      <c r="F55" s="12" t="str">
        <f t="shared" si="2"/>
        <v>environmental conditions.poor visibility.poor visibility due to dense fog</v>
      </c>
      <c r="AF55"/>
    </row>
    <row r="56" spans="1:32" ht="28.2" x14ac:dyDescent="0.3">
      <c r="A56" s="12" t="s">
        <v>115</v>
      </c>
      <c r="B56" s="12" t="s">
        <v>118</v>
      </c>
      <c r="C56" s="12"/>
      <c r="D56" s="23" t="s">
        <v>171</v>
      </c>
      <c r="E56" s="12" t="s">
        <v>112</v>
      </c>
      <c r="F56" s="12" t="str">
        <f t="shared" si="2"/>
        <v>environmental conditions.brightness.backlight (Gegenlicht)</v>
      </c>
      <c r="AF56"/>
    </row>
    <row r="57" spans="1:32" x14ac:dyDescent="0.3">
      <c r="A57" s="12" t="s">
        <v>115</v>
      </c>
      <c r="B57" s="12" t="s">
        <v>118</v>
      </c>
      <c r="C57" s="12"/>
      <c r="D57" s="12" t="s">
        <v>173</v>
      </c>
      <c r="E57" s="12" t="s">
        <v>105</v>
      </c>
      <c r="F57" s="12" t="str">
        <f t="shared" si="2"/>
        <v>environmental conditions.brightness.sunlight from back</v>
      </c>
      <c r="AF57"/>
    </row>
    <row r="58" spans="1:32" x14ac:dyDescent="0.3">
      <c r="A58" s="12" t="s">
        <v>115</v>
      </c>
      <c r="B58" s="12" t="s">
        <v>118</v>
      </c>
      <c r="C58" s="12"/>
      <c r="D58" s="12" t="s">
        <v>45</v>
      </c>
      <c r="E58" s="12" t="s">
        <v>105</v>
      </c>
      <c r="F58" s="12" t="str">
        <f t="shared" si="2"/>
        <v>environmental conditions.brightness.cloudy sky</v>
      </c>
    </row>
    <row r="59" spans="1:32" ht="28.2" x14ac:dyDescent="0.3">
      <c r="A59" s="12" t="s">
        <v>115</v>
      </c>
      <c r="B59" s="12" t="s">
        <v>119</v>
      </c>
      <c r="C59" s="12"/>
      <c r="D59" s="12" t="s">
        <v>46</v>
      </c>
      <c r="E59" s="12" t="s">
        <v>105</v>
      </c>
      <c r="F59" s="12" t="str">
        <f t="shared" si="2"/>
        <v>environmental conditions.darkness.darkness with unrecognizable road boundary</v>
      </c>
      <c r="AF59"/>
    </row>
    <row r="60" spans="1:32" ht="28.2" x14ac:dyDescent="0.3">
      <c r="A60" s="12" t="s">
        <v>115</v>
      </c>
      <c r="B60" s="12" t="s">
        <v>119</v>
      </c>
      <c r="C60" s="12"/>
      <c r="D60" s="12" t="s">
        <v>172</v>
      </c>
      <c r="E60" s="12" t="s">
        <v>112</v>
      </c>
      <c r="F60" s="12" t="str">
        <f t="shared" si="2"/>
        <v>environmental conditions.darkness.darkness with low residual light</v>
      </c>
      <c r="AF60"/>
    </row>
    <row r="61" spans="1:32" collapsed="1" x14ac:dyDescent="0.3">
      <c r="A61" s="22"/>
      <c r="B61" s="22"/>
      <c r="C61" s="22"/>
      <c r="D61" s="22"/>
      <c r="E61" s="22"/>
      <c r="F61" s="41"/>
      <c r="AF61"/>
    </row>
    <row r="62" spans="1:32" x14ac:dyDescent="0.3">
      <c r="A62" s="12" t="s">
        <v>120</v>
      </c>
      <c r="B62" s="12" t="s">
        <v>121</v>
      </c>
      <c r="C62" s="12"/>
      <c r="D62" s="12" t="s">
        <v>47</v>
      </c>
      <c r="E62" s="12" t="s">
        <v>109</v>
      </c>
      <c r="F62" s="12" t="str">
        <f t="shared" si="2"/>
        <v>road conditions.adhesion conditions.absolute friction coefficient</v>
      </c>
      <c r="AF62"/>
    </row>
    <row r="63" spans="1:32" x14ac:dyDescent="0.3">
      <c r="A63" s="12" t="s">
        <v>120</v>
      </c>
      <c r="B63" s="12" t="s">
        <v>121</v>
      </c>
      <c r="C63" s="12"/>
      <c r="D63" s="12" t="s">
        <v>48</v>
      </c>
      <c r="E63" s="12" t="s">
        <v>109</v>
      </c>
      <c r="F63" s="12" t="str">
        <f t="shared" si="2"/>
        <v xml:space="preserve">road conditions.adhesion conditions.u-split </v>
      </c>
      <c r="AF63"/>
    </row>
    <row r="64" spans="1:32" x14ac:dyDescent="0.3">
      <c r="A64" s="12" t="s">
        <v>120</v>
      </c>
      <c r="B64" s="12" t="s">
        <v>121</v>
      </c>
      <c r="C64" s="12"/>
      <c r="D64" s="12" t="s">
        <v>49</v>
      </c>
      <c r="E64" s="12" t="s">
        <v>109</v>
      </c>
      <c r="F64" s="12" t="str">
        <f t="shared" si="2"/>
        <v>road conditions.adhesion conditions.u-jump</v>
      </c>
      <c r="AF64"/>
    </row>
    <row r="65" spans="1:32" x14ac:dyDescent="0.3">
      <c r="A65" s="12" t="s">
        <v>120</v>
      </c>
      <c r="B65" s="12" t="s">
        <v>122</v>
      </c>
      <c r="C65" s="12"/>
      <c r="D65" s="12" t="s">
        <v>50</v>
      </c>
      <c r="E65" s="12" t="s">
        <v>109</v>
      </c>
      <c r="F65" s="12" t="str">
        <f t="shared" si="2"/>
        <v>road conditions.slope.descent</v>
      </c>
      <c r="AF65"/>
    </row>
    <row r="66" spans="1:32" x14ac:dyDescent="0.3">
      <c r="A66" s="12" t="s">
        <v>120</v>
      </c>
      <c r="B66" s="12" t="s">
        <v>122</v>
      </c>
      <c r="C66" s="12"/>
      <c r="D66" s="12" t="s">
        <v>51</v>
      </c>
      <c r="E66" s="12" t="s">
        <v>109</v>
      </c>
      <c r="F66" s="12" t="str">
        <f t="shared" si="2"/>
        <v>road conditions.slope.tilt</v>
      </c>
      <c r="AF66"/>
    </row>
    <row r="67" spans="1:32" x14ac:dyDescent="0.3">
      <c r="A67" s="12" t="s">
        <v>120</v>
      </c>
      <c r="B67" s="12" t="s">
        <v>122</v>
      </c>
      <c r="C67" s="12"/>
      <c r="D67" s="19" t="s">
        <v>150</v>
      </c>
      <c r="E67" s="12" t="s">
        <v>109</v>
      </c>
      <c r="F67" s="12" t="str">
        <f t="shared" si="2"/>
        <v>road conditions.slope.ascent</v>
      </c>
      <c r="AF67"/>
    </row>
    <row r="68" spans="1:32" ht="28.2" x14ac:dyDescent="0.3">
      <c r="A68" s="12" t="s">
        <v>120</v>
      </c>
      <c r="B68" s="12" t="s">
        <v>123</v>
      </c>
      <c r="C68" s="12"/>
      <c r="D68" s="12" t="s">
        <v>52</v>
      </c>
      <c r="E68" s="12" t="s">
        <v>112</v>
      </c>
      <c r="F68" s="12" t="str">
        <f t="shared" si="2"/>
        <v>road conditions.marking.quality of lane marking</v>
      </c>
      <c r="AF68"/>
    </row>
    <row r="69" spans="1:32" ht="42" x14ac:dyDescent="0.3">
      <c r="A69" s="12" t="s">
        <v>120</v>
      </c>
      <c r="B69" s="12" t="s">
        <v>124</v>
      </c>
      <c r="C69" s="12"/>
      <c r="D69" s="12" t="s">
        <v>53</v>
      </c>
      <c r="E69" s="12" t="s">
        <v>112</v>
      </c>
      <c r="F69" s="12" t="str">
        <f t="shared" si="2"/>
        <v>road conditions.unevenness.driving with considerable vertical excitation on the wheel</v>
      </c>
      <c r="AF69"/>
    </row>
    <row r="70" spans="1:32" collapsed="1" x14ac:dyDescent="0.3">
      <c r="A70" s="22"/>
      <c r="B70" s="22"/>
      <c r="C70" s="22"/>
      <c r="D70" s="22"/>
      <c r="E70" s="22"/>
      <c r="F70" s="41"/>
      <c r="AF70"/>
    </row>
    <row r="71" spans="1:32" x14ac:dyDescent="0.3">
      <c r="A71" s="12" t="s">
        <v>125</v>
      </c>
      <c r="B71" s="12" t="s">
        <v>126</v>
      </c>
      <c r="C71" s="12" t="s">
        <v>127</v>
      </c>
      <c r="D71" s="12" t="s">
        <v>54</v>
      </c>
      <c r="E71" s="12" t="s">
        <v>105</v>
      </c>
      <c r="F71" s="12" t="str">
        <f>A71&amp;"."&amp;B71&amp;"."&amp;C71&amp;"."&amp;D71</f>
        <v>road boundary.left and right boundary.physically non traversable.guardrail</v>
      </c>
      <c r="AF71"/>
    </row>
    <row r="72" spans="1:32" ht="28.2" x14ac:dyDescent="0.3">
      <c r="A72" s="12" t="s">
        <v>125</v>
      </c>
      <c r="B72" s="12" t="s">
        <v>126</v>
      </c>
      <c r="C72" s="12" t="s">
        <v>127</v>
      </c>
      <c r="D72" s="12" t="s">
        <v>55</v>
      </c>
      <c r="E72" s="12" t="s">
        <v>112</v>
      </c>
      <c r="F72" s="12" t="str">
        <f t="shared" ref="F72:F135" si="3">A72&amp;"."&amp;B72&amp;"."&amp;C72&amp;"."&amp;D72</f>
        <v>road boundary.left and right boundary.physically non traversable.bushes, trees and other plants</v>
      </c>
      <c r="AF72"/>
    </row>
    <row r="73" spans="1:32" ht="28.2" x14ac:dyDescent="0.3">
      <c r="A73" s="12" t="s">
        <v>125</v>
      </c>
      <c r="B73" s="12" t="s">
        <v>126</v>
      </c>
      <c r="C73" s="12" t="s">
        <v>127</v>
      </c>
      <c r="D73" s="12" t="s">
        <v>56</v>
      </c>
      <c r="E73" s="12" t="s">
        <v>112</v>
      </c>
      <c r="F73" s="12" t="str">
        <f t="shared" si="3"/>
        <v>road boundary.left and right boundary.physically non traversable.curb</v>
      </c>
      <c r="AF73"/>
    </row>
    <row r="74" spans="1:32" ht="28.2" x14ac:dyDescent="0.3">
      <c r="A74" s="12" t="s">
        <v>125</v>
      </c>
      <c r="B74" s="12" t="s">
        <v>126</v>
      </c>
      <c r="C74" s="12" t="s">
        <v>127</v>
      </c>
      <c r="D74" s="12" t="s">
        <v>57</v>
      </c>
      <c r="E74" s="12" t="s">
        <v>112</v>
      </c>
      <c r="F74" s="12" t="str">
        <f t="shared" si="3"/>
        <v>road boundary.left and right boundary.physically non traversable.wall</v>
      </c>
      <c r="AF74"/>
    </row>
    <row r="75" spans="1:32" ht="28.2" x14ac:dyDescent="0.3">
      <c r="A75" s="12" t="s">
        <v>125</v>
      </c>
      <c r="B75" s="12" t="s">
        <v>126</v>
      </c>
      <c r="C75" s="12" t="s">
        <v>127</v>
      </c>
      <c r="D75" s="12" t="s">
        <v>58</v>
      </c>
      <c r="E75" s="12" t="s">
        <v>112</v>
      </c>
      <c r="F75" s="12" t="str">
        <f t="shared" si="3"/>
        <v>road boundary.left and right boundary.physically non traversable.barrier</v>
      </c>
      <c r="AF75"/>
    </row>
    <row r="76" spans="1:32" ht="28.2" x14ac:dyDescent="0.3">
      <c r="A76" s="12" t="s">
        <v>125</v>
      </c>
      <c r="B76" s="12" t="s">
        <v>126</v>
      </c>
      <c r="C76" s="12" t="s">
        <v>127</v>
      </c>
      <c r="D76" s="12" t="s">
        <v>59</v>
      </c>
      <c r="E76" s="12" t="s">
        <v>112</v>
      </c>
      <c r="F76" s="12" t="str">
        <f t="shared" si="3"/>
        <v>road boundary.left and right boundary.physically non traversable.fence</v>
      </c>
      <c r="AF76"/>
    </row>
    <row r="77" spans="1:32" x14ac:dyDescent="0.3">
      <c r="A77" s="12" t="s">
        <v>125</v>
      </c>
      <c r="B77" s="12" t="s">
        <v>126</v>
      </c>
      <c r="C77" s="12" t="s">
        <v>128</v>
      </c>
      <c r="D77" s="12" t="s">
        <v>60</v>
      </c>
      <c r="E77" s="12" t="s">
        <v>105</v>
      </c>
      <c r="F77" s="12" t="str">
        <f t="shared" si="3"/>
        <v>road boundary.left and right boundary.traversable boundary.dotted line</v>
      </c>
      <c r="AF77"/>
    </row>
    <row r="78" spans="1:32" ht="28.2" x14ac:dyDescent="0.3">
      <c r="A78" s="12" t="s">
        <v>125</v>
      </c>
      <c r="B78" s="12" t="s">
        <v>126</v>
      </c>
      <c r="C78" s="12" t="s">
        <v>129</v>
      </c>
      <c r="D78" s="12" t="s">
        <v>189</v>
      </c>
      <c r="E78" s="12" t="s">
        <v>105</v>
      </c>
      <c r="F78" s="12" t="str">
        <f t="shared" si="3"/>
        <v>road boundary.left and right boundary.boundary not allowed to traverse.continuous line</v>
      </c>
      <c r="AF78"/>
    </row>
    <row r="79" spans="1:32" ht="28.2" x14ac:dyDescent="0.3">
      <c r="A79" s="12" t="s">
        <v>125</v>
      </c>
      <c r="B79" s="12" t="s">
        <v>130</v>
      </c>
      <c r="C79" s="12" t="s">
        <v>131</v>
      </c>
      <c r="D79" s="12" t="s">
        <v>61</v>
      </c>
      <c r="E79" s="12" t="s">
        <v>132</v>
      </c>
      <c r="F79" s="12" t="str">
        <f t="shared" si="3"/>
        <v>road boundary.front and rear boundary.temporarily bordered boundary.traffic light</v>
      </c>
      <c r="AF79"/>
    </row>
    <row r="80" spans="1:32" ht="28.2" x14ac:dyDescent="0.3">
      <c r="A80" s="12" t="s">
        <v>125</v>
      </c>
      <c r="B80" s="12" t="s">
        <v>130</v>
      </c>
      <c r="C80" s="12" t="s">
        <v>131</v>
      </c>
      <c r="D80" s="12" t="s">
        <v>62</v>
      </c>
      <c r="E80" s="12" t="s">
        <v>105</v>
      </c>
      <c r="F80" s="12" t="str">
        <f t="shared" si="3"/>
        <v>road boundary.front and rear boundary.temporarily bordered boundary.stop line</v>
      </c>
      <c r="AF80"/>
    </row>
    <row r="81" spans="1:32" ht="28.2" x14ac:dyDescent="0.3">
      <c r="A81" s="12" t="s">
        <v>125</v>
      </c>
      <c r="B81" s="12" t="s">
        <v>130</v>
      </c>
      <c r="C81" s="12" t="s">
        <v>131</v>
      </c>
      <c r="D81" s="12" t="s">
        <v>63</v>
      </c>
      <c r="E81" s="12" t="s">
        <v>105</v>
      </c>
      <c r="F81" s="12" t="str">
        <f t="shared" si="3"/>
        <v>road boundary.front and rear boundary.temporarily bordered boundary.crosswalk</v>
      </c>
      <c r="AF81"/>
    </row>
    <row r="82" spans="1:32" ht="28.2" x14ac:dyDescent="0.3">
      <c r="A82" s="12" t="s">
        <v>125</v>
      </c>
      <c r="B82" s="12" t="s">
        <v>130</v>
      </c>
      <c r="C82" s="12" t="s">
        <v>131</v>
      </c>
      <c r="D82" s="12" t="s">
        <v>64</v>
      </c>
      <c r="E82" s="12" t="s">
        <v>105</v>
      </c>
      <c r="F82" s="12" t="str">
        <f t="shared" si="3"/>
        <v>road boundary.front and rear boundary.temporarily bordered boundary.yield sign</v>
      </c>
      <c r="AF82"/>
    </row>
    <row r="83" spans="1:32" ht="28.2" x14ac:dyDescent="0.3">
      <c r="A83" s="12" t="s">
        <v>125</v>
      </c>
      <c r="B83" s="12" t="s">
        <v>130</v>
      </c>
      <c r="C83" s="12" t="s">
        <v>133</v>
      </c>
      <c r="D83" s="12" t="s">
        <v>65</v>
      </c>
      <c r="E83" s="12" t="s">
        <v>105</v>
      </c>
      <c r="F83" s="24" t="str">
        <f t="shared" si="3"/>
        <v>road boundary.front and rear boundary.permanently bordered boundary.front end of parking space</v>
      </c>
      <c r="AF83"/>
    </row>
    <row r="84" spans="1:32" collapsed="1" x14ac:dyDescent="0.3">
      <c r="A84" s="22"/>
      <c r="B84" s="22"/>
      <c r="C84" s="22"/>
      <c r="D84" s="22"/>
      <c r="E84" s="22"/>
      <c r="F84" s="41"/>
      <c r="AF84"/>
    </row>
    <row r="85" spans="1:32" ht="28.2" x14ac:dyDescent="0.3">
      <c r="A85" s="12" t="s">
        <v>134</v>
      </c>
      <c r="B85" s="12" t="s">
        <v>135</v>
      </c>
      <c r="C85" s="12"/>
      <c r="D85" s="12" t="s">
        <v>66</v>
      </c>
      <c r="E85" s="12" t="s">
        <v>105</v>
      </c>
      <c r="F85" s="24" t="str">
        <f>A85&amp;"."&amp;B85&amp;"."&amp;D85</f>
        <v>road topology.type of left environmental area.traffic lane with oncoming traffic</v>
      </c>
      <c r="AF85"/>
    </row>
    <row r="86" spans="1:32" ht="28.2" x14ac:dyDescent="0.3">
      <c r="A86" s="12" t="s">
        <v>134</v>
      </c>
      <c r="B86" s="12" t="s">
        <v>135</v>
      </c>
      <c r="C86" s="12"/>
      <c r="D86" s="12" t="s">
        <v>67</v>
      </c>
      <c r="E86" s="12" t="s">
        <v>105</v>
      </c>
      <c r="F86" s="24" t="str">
        <f t="shared" ref="F86:F113" si="4">A86&amp;"."&amp;B86&amp;"."&amp;D86</f>
        <v>road topology.type of left environmental area.traffic lane in driving direction</v>
      </c>
      <c r="AF86"/>
    </row>
    <row r="87" spans="1:32" ht="28.2" x14ac:dyDescent="0.3">
      <c r="A87" s="12" t="s">
        <v>134</v>
      </c>
      <c r="B87" s="12" t="s">
        <v>135</v>
      </c>
      <c r="C87" s="12"/>
      <c r="D87" s="12" t="s">
        <v>68</v>
      </c>
      <c r="E87" s="12" t="s">
        <v>105</v>
      </c>
      <c r="F87" s="24" t="str">
        <f t="shared" si="4"/>
        <v>road topology.type of left environmental area.sidewalk</v>
      </c>
      <c r="AF87"/>
    </row>
    <row r="88" spans="1:32" ht="28.2" x14ac:dyDescent="0.3">
      <c r="A88" s="12" t="s">
        <v>134</v>
      </c>
      <c r="B88" s="12" t="s">
        <v>135</v>
      </c>
      <c r="C88" s="12"/>
      <c r="D88" s="12" t="s">
        <v>69</v>
      </c>
      <c r="E88" s="12" t="s">
        <v>105</v>
      </c>
      <c r="F88" s="24" t="str">
        <f t="shared" si="4"/>
        <v>road topology.type of left environmental area.occluded area</v>
      </c>
      <c r="AF88"/>
    </row>
    <row r="89" spans="1:32" ht="28.2" x14ac:dyDescent="0.3">
      <c r="A89" s="12" t="s">
        <v>134</v>
      </c>
      <c r="B89" s="12" t="s">
        <v>136</v>
      </c>
      <c r="C89" s="12"/>
      <c r="D89" s="12" t="s">
        <v>67</v>
      </c>
      <c r="E89" s="12" t="s">
        <v>105</v>
      </c>
      <c r="F89" s="24" t="str">
        <f t="shared" si="4"/>
        <v>road topology.type of right environmental area.traffic lane in driving direction</v>
      </c>
      <c r="AF89"/>
    </row>
    <row r="90" spans="1:32" ht="28.2" x14ac:dyDescent="0.3">
      <c r="A90" s="12" t="s">
        <v>134</v>
      </c>
      <c r="B90" s="12" t="s">
        <v>136</v>
      </c>
      <c r="C90" s="12"/>
      <c r="D90" s="12" t="s">
        <v>66</v>
      </c>
      <c r="E90" s="12" t="s">
        <v>105</v>
      </c>
      <c r="F90" s="24" t="str">
        <f t="shared" si="4"/>
        <v>road topology.type of right environmental area.traffic lane with oncoming traffic</v>
      </c>
      <c r="AF90"/>
    </row>
    <row r="91" spans="1:32" ht="28.2" x14ac:dyDescent="0.3">
      <c r="A91" s="12" t="s">
        <v>134</v>
      </c>
      <c r="B91" s="12" t="s">
        <v>136</v>
      </c>
      <c r="C91" s="12"/>
      <c r="D91" s="12" t="s">
        <v>70</v>
      </c>
      <c r="E91" s="12" t="s">
        <v>105</v>
      </c>
      <c r="F91" s="24" t="str">
        <f t="shared" si="4"/>
        <v>road topology.type of right environmental area.not relevant environmental area</v>
      </c>
      <c r="AF91"/>
    </row>
    <row r="92" spans="1:32" ht="28.2" x14ac:dyDescent="0.3">
      <c r="A92" s="12" t="s">
        <v>134</v>
      </c>
      <c r="B92" s="12" t="s">
        <v>136</v>
      </c>
      <c r="C92" s="12"/>
      <c r="D92" s="12" t="s">
        <v>68</v>
      </c>
      <c r="E92" s="12" t="s">
        <v>105</v>
      </c>
      <c r="F92" s="24" t="str">
        <f t="shared" si="4"/>
        <v>road topology.type of right environmental area.sidewalk</v>
      </c>
      <c r="AF92"/>
    </row>
    <row r="93" spans="1:32" ht="28.2" x14ac:dyDescent="0.3">
      <c r="A93" s="12" t="s">
        <v>134</v>
      </c>
      <c r="B93" s="12" t="s">
        <v>136</v>
      </c>
      <c r="C93" s="12"/>
      <c r="D93" s="12" t="s">
        <v>71</v>
      </c>
      <c r="E93" s="12" t="s">
        <v>105</v>
      </c>
      <c r="F93" s="24" t="str">
        <f t="shared" si="4"/>
        <v>road topology.type of right environmental area.parking lane</v>
      </c>
      <c r="AF93"/>
    </row>
    <row r="94" spans="1:32" ht="28.2" x14ac:dyDescent="0.3">
      <c r="A94" s="12" t="s">
        <v>134</v>
      </c>
      <c r="B94" s="12" t="s">
        <v>136</v>
      </c>
      <c r="C94" s="12"/>
      <c r="D94" s="12" t="s">
        <v>190</v>
      </c>
      <c r="E94" s="12" t="s">
        <v>105</v>
      </c>
      <c r="F94" s="24" t="str">
        <f t="shared" si="4"/>
        <v>road topology.type of right environmental area.gateway (Ein/Ausfahrt)</v>
      </c>
      <c r="AF94"/>
    </row>
    <row r="95" spans="1:32" ht="28.2" x14ac:dyDescent="0.3">
      <c r="A95" s="12" t="s">
        <v>134</v>
      </c>
      <c r="B95" s="12" t="s">
        <v>136</v>
      </c>
      <c r="C95" s="12"/>
      <c r="D95" s="12" t="s">
        <v>72</v>
      </c>
      <c r="E95" s="12" t="s">
        <v>105</v>
      </c>
      <c r="F95" s="24" t="str">
        <f t="shared" si="4"/>
        <v>road topology.type of right environmental area.emergency lane</v>
      </c>
      <c r="AF95"/>
    </row>
    <row r="96" spans="1:32" ht="28.2" x14ac:dyDescent="0.3">
      <c r="A96" s="12" t="s">
        <v>134</v>
      </c>
      <c r="B96" s="12" t="s">
        <v>136</v>
      </c>
      <c r="C96" s="12"/>
      <c r="D96" s="12" t="s">
        <v>73</v>
      </c>
      <c r="E96" s="12" t="s">
        <v>105</v>
      </c>
      <c r="F96" s="24" t="str">
        <f t="shared" si="4"/>
        <v>road topology.type of right environmental area.bus lane</v>
      </c>
      <c r="AF96"/>
    </row>
    <row r="97" spans="1:32" ht="28.2" x14ac:dyDescent="0.3">
      <c r="A97" s="12" t="s">
        <v>134</v>
      </c>
      <c r="B97" s="12" t="s">
        <v>136</v>
      </c>
      <c r="C97" s="12"/>
      <c r="D97" s="12" t="s">
        <v>74</v>
      </c>
      <c r="E97" s="12" t="s">
        <v>105</v>
      </c>
      <c r="F97" s="24" t="str">
        <f t="shared" si="4"/>
        <v>road topology.type of right environmental area.bus stop</v>
      </c>
      <c r="AF97"/>
    </row>
    <row r="98" spans="1:32" ht="28.2" x14ac:dyDescent="0.3">
      <c r="A98" s="12" t="s">
        <v>134</v>
      </c>
      <c r="B98" s="12" t="s">
        <v>136</v>
      </c>
      <c r="C98" s="12"/>
      <c r="D98" s="12" t="s">
        <v>75</v>
      </c>
      <c r="E98" s="12" t="s">
        <v>105</v>
      </c>
      <c r="F98" s="24" t="str">
        <f t="shared" si="4"/>
        <v>road topology.type of right environmental area.slip road</v>
      </c>
      <c r="AF98"/>
    </row>
    <row r="99" spans="1:32" ht="28.2" x14ac:dyDescent="0.3">
      <c r="A99" s="12" t="s">
        <v>134</v>
      </c>
      <c r="B99" s="12" t="s">
        <v>136</v>
      </c>
      <c r="C99" s="12"/>
      <c r="D99" s="12" t="s">
        <v>16</v>
      </c>
      <c r="E99" s="12" t="s">
        <v>105</v>
      </c>
      <c r="F99" s="24" t="str">
        <f t="shared" si="4"/>
        <v>road topology.type of right environmental area.railway crossing</v>
      </c>
      <c r="AF99"/>
    </row>
    <row r="100" spans="1:32" ht="28.2" x14ac:dyDescent="0.3">
      <c r="A100" s="12" t="s">
        <v>134</v>
      </c>
      <c r="B100" s="12" t="s">
        <v>136</v>
      </c>
      <c r="C100" s="12"/>
      <c r="D100" s="12" t="s">
        <v>69</v>
      </c>
      <c r="E100" s="12" t="s">
        <v>105</v>
      </c>
      <c r="F100" s="24" t="str">
        <f t="shared" si="4"/>
        <v>road topology.type of right environmental area.occluded area</v>
      </c>
      <c r="AF100"/>
    </row>
    <row r="101" spans="1:32" ht="28.2" x14ac:dyDescent="0.3">
      <c r="A101" s="12" t="s">
        <v>134</v>
      </c>
      <c r="B101" s="12" t="s">
        <v>136</v>
      </c>
      <c r="C101" s="12"/>
      <c r="D101" s="12" t="s">
        <v>76</v>
      </c>
      <c r="E101" s="12" t="s">
        <v>105</v>
      </c>
      <c r="F101" s="24" t="str">
        <f t="shared" si="4"/>
        <v>road topology.type of right environmental area.tramway rails on the road in driving direction</v>
      </c>
      <c r="AF101"/>
    </row>
    <row r="102" spans="1:32" ht="28.2" x14ac:dyDescent="0.3">
      <c r="A102" s="12" t="s">
        <v>134</v>
      </c>
      <c r="B102" s="12" t="s">
        <v>136</v>
      </c>
      <c r="C102" s="12"/>
      <c r="D102" s="12" t="s">
        <v>63</v>
      </c>
      <c r="E102" s="12" t="s">
        <v>105</v>
      </c>
      <c r="F102" s="24" t="str">
        <f t="shared" si="4"/>
        <v>road topology.type of right environmental area.crosswalk</v>
      </c>
      <c r="AF102"/>
    </row>
    <row r="103" spans="1:32" ht="28.2" x14ac:dyDescent="0.3">
      <c r="A103" s="12" t="s">
        <v>134</v>
      </c>
      <c r="B103" s="12" t="s">
        <v>136</v>
      </c>
      <c r="C103" s="12"/>
      <c r="D103" s="12" t="s">
        <v>77</v>
      </c>
      <c r="E103" s="12" t="s">
        <v>105</v>
      </c>
      <c r="F103" s="24" t="str">
        <f t="shared" si="4"/>
        <v>road topology.type of right environmental area.bicycle lane</v>
      </c>
      <c r="AF103"/>
    </row>
    <row r="104" spans="1:32" x14ac:dyDescent="0.3">
      <c r="A104" s="12" t="s">
        <v>134</v>
      </c>
      <c r="B104" s="12" t="s">
        <v>137</v>
      </c>
      <c r="C104" s="12"/>
      <c r="D104" s="12" t="s">
        <v>78</v>
      </c>
      <c r="E104" s="12" t="s">
        <v>109</v>
      </c>
      <c r="F104" s="24" t="str">
        <f t="shared" si="4"/>
        <v>road topology.geometry.width of the ego-lane</v>
      </c>
      <c r="AF104"/>
    </row>
    <row r="105" spans="1:32" x14ac:dyDescent="0.3">
      <c r="A105" s="12" t="s">
        <v>134</v>
      </c>
      <c r="B105" s="12" t="s">
        <v>137</v>
      </c>
      <c r="C105" s="12"/>
      <c r="D105" s="12" t="s">
        <v>79</v>
      </c>
      <c r="E105" s="12" t="s">
        <v>109</v>
      </c>
      <c r="F105" s="24" t="str">
        <f t="shared" si="4"/>
        <v>road topology.geometry.width of the road</v>
      </c>
      <c r="AF105"/>
    </row>
    <row r="106" spans="1:32" x14ac:dyDescent="0.3">
      <c r="A106" s="12" t="s">
        <v>134</v>
      </c>
      <c r="B106" s="12" t="s">
        <v>137</v>
      </c>
      <c r="C106" s="12"/>
      <c r="D106" s="12" t="s">
        <v>80</v>
      </c>
      <c r="E106" s="12" t="s">
        <v>138</v>
      </c>
      <c r="F106" s="24" t="str">
        <f t="shared" si="4"/>
        <v>road topology.geometry.amount of traffic directions</v>
      </c>
      <c r="AF106"/>
    </row>
    <row r="107" spans="1:32" x14ac:dyDescent="0.3">
      <c r="A107" s="12" t="s">
        <v>134</v>
      </c>
      <c r="B107" s="12" t="s">
        <v>137</v>
      </c>
      <c r="C107" s="12"/>
      <c r="D107" s="12" t="s">
        <v>81</v>
      </c>
      <c r="E107" s="12" t="s">
        <v>138</v>
      </c>
      <c r="F107" s="24" t="str">
        <f t="shared" si="4"/>
        <v>road topology.geometry.amount of lanes</v>
      </c>
      <c r="AF107"/>
    </row>
    <row r="108" spans="1:32" ht="28.2" x14ac:dyDescent="0.3">
      <c r="A108" s="12" t="s">
        <v>134</v>
      </c>
      <c r="B108" s="12" t="s">
        <v>137</v>
      </c>
      <c r="C108" s="12"/>
      <c r="D108" s="12" t="s">
        <v>175</v>
      </c>
      <c r="E108" s="12" t="s">
        <v>109</v>
      </c>
      <c r="F108" s="24" t="str">
        <f t="shared" si="4"/>
        <v>road topology.geometry.included angle between intersecting lanes</v>
      </c>
      <c r="AF108"/>
    </row>
    <row r="109" spans="1:32" x14ac:dyDescent="0.3">
      <c r="A109" s="12" t="s">
        <v>134</v>
      </c>
      <c r="B109" s="12" t="s">
        <v>137</v>
      </c>
      <c r="C109" s="12"/>
      <c r="D109" s="23" t="s">
        <v>174</v>
      </c>
      <c r="E109" s="12" t="s">
        <v>109</v>
      </c>
      <c r="F109" s="24" t="str">
        <f t="shared" si="4"/>
        <v>road topology.geometry.road curvature</v>
      </c>
      <c r="AF109"/>
    </row>
    <row r="110" spans="1:32" x14ac:dyDescent="0.3">
      <c r="A110" s="12" t="s">
        <v>134</v>
      </c>
      <c r="B110" s="12" t="s">
        <v>137</v>
      </c>
      <c r="C110" s="12"/>
      <c r="D110" s="23" t="s">
        <v>176</v>
      </c>
      <c r="E110" s="12" t="s">
        <v>169</v>
      </c>
      <c r="F110" s="24" t="str">
        <f t="shared" si="4"/>
        <v>road topology.geometry.other intersection</v>
      </c>
      <c r="AF110"/>
    </row>
    <row r="111" spans="1:32" x14ac:dyDescent="0.3">
      <c r="A111" s="12" t="s">
        <v>134</v>
      </c>
      <c r="B111" s="12" t="s">
        <v>139</v>
      </c>
      <c r="C111" s="12"/>
      <c r="D111" s="12" t="s">
        <v>82</v>
      </c>
      <c r="E111" s="12" t="s">
        <v>109</v>
      </c>
      <c r="F111" s="24" t="str">
        <f t="shared" si="4"/>
        <v>road topology.velocity limitation.speed limit from sign</v>
      </c>
      <c r="AF111"/>
    </row>
    <row r="112" spans="1:32" x14ac:dyDescent="0.3">
      <c r="A112" s="12" t="s">
        <v>134</v>
      </c>
      <c r="B112" s="12" t="s">
        <v>139</v>
      </c>
      <c r="C112" s="12"/>
      <c r="D112" s="12" t="s">
        <v>83</v>
      </c>
      <c r="E112" s="12" t="s">
        <v>109</v>
      </c>
      <c r="F112" s="24" t="str">
        <f t="shared" si="4"/>
        <v>road topology.velocity limitation.speed limit from road marking</v>
      </c>
      <c r="AF112"/>
    </row>
    <row r="113" spans="1:32" x14ac:dyDescent="0.3">
      <c r="A113" s="12" t="s">
        <v>134</v>
      </c>
      <c r="B113" s="12" t="s">
        <v>139</v>
      </c>
      <c r="C113" s="12"/>
      <c r="D113" s="12" t="s">
        <v>84</v>
      </c>
      <c r="E113" s="12" t="s">
        <v>109</v>
      </c>
      <c r="F113" s="24" t="str">
        <f t="shared" si="4"/>
        <v>road topology.velocity limitation.speed limit from location</v>
      </c>
      <c r="AF113"/>
    </row>
    <row r="114" spans="1:32" collapsed="1" x14ac:dyDescent="0.3">
      <c r="A114" s="22"/>
      <c r="B114" s="22"/>
      <c r="C114" s="22"/>
      <c r="D114" s="22"/>
      <c r="E114" s="22"/>
      <c r="F114" s="41"/>
      <c r="AF114"/>
    </row>
    <row r="115" spans="1:32" x14ac:dyDescent="0.3">
      <c r="A115" s="12" t="s">
        <v>140</v>
      </c>
      <c r="B115" s="12" t="s">
        <v>141</v>
      </c>
      <c r="C115" s="12"/>
      <c r="D115" s="12" t="s">
        <v>85</v>
      </c>
      <c r="E115" s="12" t="s">
        <v>109</v>
      </c>
      <c r="F115" s="24" t="str">
        <f>A115&amp;"."&amp;B115&amp;"."&amp;D115</f>
        <v>object.motion state of object.position of the object</v>
      </c>
      <c r="AF115"/>
    </row>
    <row r="116" spans="1:32" x14ac:dyDescent="0.3">
      <c r="A116" s="12" t="s">
        <v>140</v>
      </c>
      <c r="B116" s="12" t="s">
        <v>141</v>
      </c>
      <c r="C116" s="12"/>
      <c r="D116" s="12" t="s">
        <v>86</v>
      </c>
      <c r="E116" s="12" t="s">
        <v>109</v>
      </c>
      <c r="F116" s="24" t="str">
        <f t="shared" ref="F116:F117" si="5">A116&amp;"."&amp;B116&amp;"."&amp;D116</f>
        <v>object.motion state of object.speed of the object</v>
      </c>
      <c r="AF116"/>
    </row>
    <row r="117" spans="1:32" ht="28.2" x14ac:dyDescent="0.3">
      <c r="A117" s="12" t="s">
        <v>140</v>
      </c>
      <c r="B117" s="12" t="s">
        <v>141</v>
      </c>
      <c r="C117" s="12"/>
      <c r="D117" s="12" t="s">
        <v>87</v>
      </c>
      <c r="E117" s="12" t="s">
        <v>109</v>
      </c>
      <c r="F117" s="24" t="str">
        <f t="shared" si="5"/>
        <v>object.motion state of object.acceleration or deceleration of the object</v>
      </c>
      <c r="AF117"/>
    </row>
    <row r="118" spans="1:32" ht="28.2" x14ac:dyDescent="0.3">
      <c r="A118" s="12" t="s">
        <v>140</v>
      </c>
      <c r="B118" s="12" t="s">
        <v>142</v>
      </c>
      <c r="C118" s="12" t="s">
        <v>143</v>
      </c>
      <c r="D118" s="12" t="s">
        <v>88</v>
      </c>
      <c r="E118" s="12" t="s">
        <v>112</v>
      </c>
      <c r="F118" s="12" t="str">
        <f t="shared" si="3"/>
        <v>object.object type.vulnerable road user.pedestrian</v>
      </c>
      <c r="AF118"/>
    </row>
    <row r="119" spans="1:32" ht="28.2" x14ac:dyDescent="0.3">
      <c r="A119" s="12" t="s">
        <v>140</v>
      </c>
      <c r="B119" s="12" t="s">
        <v>142</v>
      </c>
      <c r="C119" s="12" t="s">
        <v>143</v>
      </c>
      <c r="D119" s="12" t="s">
        <v>89</v>
      </c>
      <c r="E119" s="12" t="s">
        <v>112</v>
      </c>
      <c r="F119" s="12" t="str">
        <f t="shared" si="3"/>
        <v>object.object type.vulnerable road user.cyclist</v>
      </c>
      <c r="AF119"/>
    </row>
    <row r="120" spans="1:32" ht="28.2" x14ac:dyDescent="0.3">
      <c r="A120" s="12" t="s">
        <v>140</v>
      </c>
      <c r="B120" s="12" t="s">
        <v>142</v>
      </c>
      <c r="C120" s="12" t="s">
        <v>143</v>
      </c>
      <c r="D120" s="12" t="s">
        <v>90</v>
      </c>
      <c r="E120" s="12" t="s">
        <v>112</v>
      </c>
      <c r="F120" s="12" t="str">
        <f t="shared" si="3"/>
        <v>object.object type.vulnerable road user.motorcyclist</v>
      </c>
      <c r="AF120"/>
    </row>
    <row r="121" spans="1:32" ht="28.2" x14ac:dyDescent="0.3">
      <c r="A121" s="12" t="s">
        <v>140</v>
      </c>
      <c r="B121" s="12" t="s">
        <v>142</v>
      </c>
      <c r="C121" s="12" t="s">
        <v>144</v>
      </c>
      <c r="D121" s="12" t="s">
        <v>91</v>
      </c>
      <c r="E121" s="12" t="s">
        <v>112</v>
      </c>
      <c r="F121" s="12" t="str">
        <f t="shared" si="3"/>
        <v>object.object type.other road user.car</v>
      </c>
      <c r="AF121"/>
    </row>
    <row r="122" spans="1:32" ht="28.2" x14ac:dyDescent="0.3">
      <c r="A122" s="12" t="s">
        <v>140</v>
      </c>
      <c r="B122" s="12" t="s">
        <v>142</v>
      </c>
      <c r="C122" s="12" t="s">
        <v>144</v>
      </c>
      <c r="D122" s="12" t="s">
        <v>92</v>
      </c>
      <c r="E122" s="12" t="s">
        <v>112</v>
      </c>
      <c r="F122" s="12" t="str">
        <f t="shared" si="3"/>
        <v>object.object type.other road user.bus</v>
      </c>
      <c r="AF122"/>
    </row>
    <row r="123" spans="1:32" ht="28.2" x14ac:dyDescent="0.3">
      <c r="A123" s="12" t="s">
        <v>140</v>
      </c>
      <c r="B123" s="12" t="s">
        <v>142</v>
      </c>
      <c r="C123" s="12" t="s">
        <v>144</v>
      </c>
      <c r="D123" s="12" t="s">
        <v>93</v>
      </c>
      <c r="E123" s="12" t="s">
        <v>112</v>
      </c>
      <c r="F123" s="12" t="str">
        <f t="shared" si="3"/>
        <v>object.object type.other road user.truck</v>
      </c>
      <c r="AF123"/>
    </row>
    <row r="124" spans="1:32" ht="28.2" x14ac:dyDescent="0.3">
      <c r="A124" s="12" t="s">
        <v>140</v>
      </c>
      <c r="B124" s="12" t="s">
        <v>142</v>
      </c>
      <c r="C124" s="12" t="s">
        <v>144</v>
      </c>
      <c r="D124" s="12" t="s">
        <v>94</v>
      </c>
      <c r="E124" s="12" t="s">
        <v>112</v>
      </c>
      <c r="F124" s="12" t="str">
        <f t="shared" si="3"/>
        <v>object.object type.other road user.emergency vehicle</v>
      </c>
      <c r="AF124"/>
    </row>
    <row r="125" spans="1:32" ht="28.2" x14ac:dyDescent="0.3">
      <c r="A125" s="12" t="s">
        <v>140</v>
      </c>
      <c r="B125" s="12" t="s">
        <v>142</v>
      </c>
      <c r="C125" s="12" t="s">
        <v>145</v>
      </c>
      <c r="D125" s="12" t="s">
        <v>95</v>
      </c>
      <c r="E125" s="12" t="s">
        <v>146</v>
      </c>
      <c r="F125" s="12" t="str">
        <f t="shared" si="3"/>
        <v>object.object type.traffic element.sign</v>
      </c>
      <c r="AF125"/>
    </row>
    <row r="126" spans="1:32" ht="28.2" x14ac:dyDescent="0.3">
      <c r="A126" s="12" t="s">
        <v>140</v>
      </c>
      <c r="B126" s="12" t="s">
        <v>142</v>
      </c>
      <c r="C126" s="12" t="s">
        <v>145</v>
      </c>
      <c r="D126" s="12" t="s">
        <v>61</v>
      </c>
      <c r="E126" s="12" t="s">
        <v>132</v>
      </c>
      <c r="F126" s="12" t="str">
        <f t="shared" si="3"/>
        <v>object.object type.traffic element.traffic light</v>
      </c>
      <c r="AF126"/>
    </row>
    <row r="127" spans="1:32" ht="28.2" x14ac:dyDescent="0.3">
      <c r="A127" s="12" t="s">
        <v>140</v>
      </c>
      <c r="B127" s="12" t="s">
        <v>142</v>
      </c>
      <c r="C127" s="12" t="s">
        <v>145</v>
      </c>
      <c r="D127" s="12" t="s">
        <v>96</v>
      </c>
      <c r="E127" s="12" t="s">
        <v>112</v>
      </c>
      <c r="F127" s="12" t="str">
        <f t="shared" si="3"/>
        <v>object.object type.traffic element.crosswalk marking</v>
      </c>
      <c r="AF127"/>
    </row>
    <row r="128" spans="1:32" ht="28.2" x14ac:dyDescent="0.3">
      <c r="A128" s="12" t="s">
        <v>140</v>
      </c>
      <c r="B128" s="12" t="s">
        <v>142</v>
      </c>
      <c r="C128" s="12" t="s">
        <v>145</v>
      </c>
      <c r="D128" s="12" t="s">
        <v>97</v>
      </c>
      <c r="E128" s="12" t="s">
        <v>112</v>
      </c>
      <c r="F128" s="12" t="str">
        <f t="shared" si="3"/>
        <v>object.object type.traffic element.lane marking</v>
      </c>
      <c r="AF128"/>
    </row>
    <row r="129" spans="1:32" ht="28.2" x14ac:dyDescent="0.3">
      <c r="A129" s="12" t="s">
        <v>140</v>
      </c>
      <c r="B129" s="12" t="s">
        <v>142</v>
      </c>
      <c r="C129" s="12" t="s">
        <v>145</v>
      </c>
      <c r="D129" s="12" t="s">
        <v>62</v>
      </c>
      <c r="E129" s="12" t="s">
        <v>112</v>
      </c>
      <c r="F129" s="12" t="str">
        <f t="shared" si="3"/>
        <v>object.object type.traffic element.stop line</v>
      </c>
      <c r="AF129"/>
    </row>
    <row r="130" spans="1:32" ht="28.2" x14ac:dyDescent="0.3">
      <c r="A130" s="12" t="s">
        <v>140</v>
      </c>
      <c r="B130" s="12" t="s">
        <v>142</v>
      </c>
      <c r="C130" s="12" t="s">
        <v>147</v>
      </c>
      <c r="D130" s="12" t="s">
        <v>177</v>
      </c>
      <c r="E130" s="12" t="s">
        <v>112</v>
      </c>
      <c r="F130" s="12" t="str">
        <f t="shared" si="3"/>
        <v>object.object type.special object.additional light source</v>
      </c>
      <c r="AF130"/>
    </row>
    <row r="131" spans="1:32" ht="28.2" x14ac:dyDescent="0.3">
      <c r="A131" s="12" t="s">
        <v>140</v>
      </c>
      <c r="B131" s="12" t="s">
        <v>142</v>
      </c>
      <c r="C131" s="12" t="s">
        <v>147</v>
      </c>
      <c r="D131" s="12" t="s">
        <v>178</v>
      </c>
      <c r="E131" s="12" t="s">
        <v>112</v>
      </c>
      <c r="F131" s="12" t="str">
        <f t="shared" si="3"/>
        <v>object.object type.special object.berries</v>
      </c>
      <c r="AF131"/>
    </row>
    <row r="132" spans="1:32" ht="28.2" x14ac:dyDescent="0.3">
      <c r="A132" s="12" t="s">
        <v>140</v>
      </c>
      <c r="B132" s="12" t="s">
        <v>142</v>
      </c>
      <c r="C132" s="12" t="s">
        <v>147</v>
      </c>
      <c r="D132" s="12" t="s">
        <v>179</v>
      </c>
      <c r="E132" s="12" t="s">
        <v>112</v>
      </c>
      <c r="F132" s="12" t="str">
        <f t="shared" si="3"/>
        <v>object.object type.special object.leaves</v>
      </c>
      <c r="AF132"/>
    </row>
    <row r="133" spans="1:32" ht="28.2" x14ac:dyDescent="0.3">
      <c r="A133" s="12" t="s">
        <v>140</v>
      </c>
      <c r="B133" s="12" t="s">
        <v>142</v>
      </c>
      <c r="C133" s="12" t="s">
        <v>147</v>
      </c>
      <c r="D133" s="12" t="s">
        <v>98</v>
      </c>
      <c r="E133" s="12" t="s">
        <v>112</v>
      </c>
      <c r="F133" s="12" t="str">
        <f t="shared" si="3"/>
        <v>object.object type.special object.cutting in vehicle</v>
      </c>
      <c r="AF133"/>
    </row>
    <row r="134" spans="1:32" ht="28.2" x14ac:dyDescent="0.3">
      <c r="A134" s="12" t="s">
        <v>140</v>
      </c>
      <c r="B134" s="12" t="s">
        <v>142</v>
      </c>
      <c r="C134" s="12" t="s">
        <v>147</v>
      </c>
      <c r="D134" s="12" t="s">
        <v>99</v>
      </c>
      <c r="E134" s="12" t="s">
        <v>112</v>
      </c>
      <c r="F134" s="12" t="str">
        <f t="shared" si="3"/>
        <v>object.object type.special object.sheering out vehicle</v>
      </c>
      <c r="AF134"/>
    </row>
    <row r="135" spans="1:32" ht="28.2" x14ac:dyDescent="0.3">
      <c r="A135" s="12" t="s">
        <v>140</v>
      </c>
      <c r="B135" s="12" t="s">
        <v>142</v>
      </c>
      <c r="C135" s="12" t="s">
        <v>147</v>
      </c>
      <c r="D135" s="12" t="s">
        <v>100</v>
      </c>
      <c r="E135" s="12" t="s">
        <v>112</v>
      </c>
      <c r="F135" s="12" t="str">
        <f t="shared" si="3"/>
        <v>object.object type.special object.unexpected obstacle, lost cargo or wild carcass</v>
      </c>
      <c r="AF135"/>
    </row>
    <row r="136" spans="1:32" collapsed="1" x14ac:dyDescent="0.3">
      <c r="A136" s="22"/>
      <c r="B136" s="22"/>
      <c r="C136" s="22"/>
      <c r="D136" s="22"/>
      <c r="E136" s="22"/>
      <c r="F136" s="41"/>
      <c r="AF136"/>
    </row>
  </sheetData>
  <mergeCells count="1">
    <mergeCell ref="B1:C1"/>
  </mergeCells>
  <pageMargins left="0.7" right="0.7" top="0.78740157499999996" bottom="0.78740157499999996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H32"/>
  <sheetViews>
    <sheetView tabSelected="1" zoomScaleNormal="100" workbookViewId="0">
      <pane ySplit="1" topLeftCell="A2" activePane="bottomLeft" state="frozen"/>
      <selection activeCell="G17" sqref="G17"/>
      <selection pane="bottomLeft" activeCell="A2" sqref="A2"/>
    </sheetView>
  </sheetViews>
  <sheetFormatPr defaultColWidth="0" defaultRowHeight="13.8" x14ac:dyDescent="0.25"/>
  <cols>
    <col min="1" max="1" width="7.44140625" style="3" bestFit="1" customWidth="1"/>
    <col min="2" max="2" width="56.33203125" style="4" customWidth="1"/>
    <col min="3" max="3" width="39" style="1" bestFit="1" customWidth="1"/>
    <col min="4" max="4" width="7.44140625" style="1" bestFit="1" customWidth="1"/>
    <col min="5" max="5" width="46.109375" style="4" customWidth="1"/>
    <col min="6" max="6" width="31.88671875" style="11" customWidth="1"/>
    <col min="7" max="7" width="31.88671875" style="10" customWidth="1"/>
    <col min="8" max="8" width="11.5546875" style="10" customWidth="1"/>
    <col min="9" max="16384" width="11.5546875" style="2" hidden="1"/>
  </cols>
  <sheetData>
    <row r="1" spans="1:8" s="40" customFormat="1" ht="15" thickBot="1" x14ac:dyDescent="0.35">
      <c r="A1" s="33" t="s">
        <v>0</v>
      </c>
      <c r="B1" s="34" t="s">
        <v>151</v>
      </c>
      <c r="C1" s="35" t="s">
        <v>158</v>
      </c>
      <c r="D1" s="36" t="s">
        <v>1</v>
      </c>
      <c r="E1" s="37" t="s">
        <v>148</v>
      </c>
      <c r="F1" s="38"/>
      <c r="G1" s="39"/>
      <c r="H1" s="39"/>
    </row>
    <row r="2" spans="1:8" ht="14.4" thickTop="1" x14ac:dyDescent="0.25">
      <c r="A2" s="17"/>
      <c r="B2" s="15"/>
      <c r="C2" s="14"/>
      <c r="D2" s="16"/>
      <c r="E2" s="12"/>
      <c r="F2" s="10"/>
      <c r="H2" s="10" t="s">
        <v>185</v>
      </c>
    </row>
    <row r="3" spans="1:8" ht="15" customHeight="1" x14ac:dyDescent="0.25">
      <c r="A3" s="18"/>
      <c r="B3" s="12"/>
      <c r="C3" s="5"/>
      <c r="D3" s="13"/>
      <c r="E3" s="12"/>
      <c r="F3" s="10"/>
      <c r="H3" s="10" t="s">
        <v>186</v>
      </c>
    </row>
    <row r="4" spans="1:8" x14ac:dyDescent="0.25">
      <c r="A4" s="18"/>
      <c r="B4" s="12"/>
      <c r="C4" s="5"/>
      <c r="D4" s="13"/>
      <c r="E4" s="12"/>
      <c r="F4" s="10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8" x14ac:dyDescent="0.25">
      <c r="A17" s="1"/>
    </row>
    <row r="18" spans="1:8" x14ac:dyDescent="0.25">
      <c r="A18" s="1"/>
    </row>
    <row r="19" spans="1:8" x14ac:dyDescent="0.25">
      <c r="A19" s="1"/>
    </row>
    <row r="20" spans="1:8" x14ac:dyDescent="0.25">
      <c r="A20" s="1"/>
    </row>
    <row r="21" spans="1:8" x14ac:dyDescent="0.25">
      <c r="A21" s="1"/>
    </row>
    <row r="22" spans="1:8" x14ac:dyDescent="0.25">
      <c r="A22" s="1"/>
    </row>
    <row r="23" spans="1:8" x14ac:dyDescent="0.25">
      <c r="A23" s="1"/>
      <c r="F23" s="43"/>
    </row>
    <row r="24" spans="1:8" x14ac:dyDescent="0.25">
      <c r="A24" s="1"/>
      <c r="F24" s="43"/>
    </row>
    <row r="25" spans="1:8" x14ac:dyDescent="0.25">
      <c r="A25" s="1"/>
    </row>
    <row r="26" spans="1:8" x14ac:dyDescent="0.25">
      <c r="A26" s="1"/>
    </row>
    <row r="27" spans="1:8" x14ac:dyDescent="0.25">
      <c r="A27" s="1"/>
    </row>
    <row r="28" spans="1:8" x14ac:dyDescent="0.25">
      <c r="A28" s="1"/>
    </row>
    <row r="29" spans="1:8" x14ac:dyDescent="0.25">
      <c r="A29" s="1"/>
    </row>
    <row r="31" spans="1:8" x14ac:dyDescent="0.25">
      <c r="F31" s="10"/>
      <c r="H31" s="2"/>
    </row>
    <row r="32" spans="1:8" x14ac:dyDescent="0.25">
      <c r="F32" s="10"/>
      <c r="H32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autoFill="0" autoPict="0" macro="[0]!DeleteUseCaseSpecifier">
                <anchor moveWithCells="1" sizeWithCells="1">
                  <from>
                    <xdr:col>1</xdr:col>
                    <xdr:colOff>358140</xdr:colOff>
                    <xdr:row>21</xdr:row>
                    <xdr:rowOff>152400</xdr:rowOff>
                  </from>
                  <to>
                    <xdr:col>1</xdr:col>
                    <xdr:colOff>1607820</xdr:colOff>
                    <xdr:row>24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autoFill="0" autoPict="0" macro="[0]!UseCaseSpecifier">
                <anchor moveWithCells="1" sizeWithCells="1">
                  <from>
                    <xdr:col>1</xdr:col>
                    <xdr:colOff>365760</xdr:colOff>
                    <xdr:row>17</xdr:row>
                    <xdr:rowOff>121920</xdr:rowOff>
                  </from>
                  <to>
                    <xdr:col>1</xdr:col>
                    <xdr:colOff>1615440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autoFill="0" autoPict="0" macro="[0]!DeleteKBpreprocessing">
                <anchor moveWithCells="1" sizeWithCells="1">
                  <from>
                    <xdr:col>1</xdr:col>
                    <xdr:colOff>1897380</xdr:colOff>
                    <xdr:row>21</xdr:row>
                    <xdr:rowOff>152400</xdr:rowOff>
                  </from>
                  <to>
                    <xdr:col>1</xdr:col>
                    <xdr:colOff>3200400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autoFill="0" autoPict="0" macro="[0]!KBpreprocessing">
                <anchor moveWithCells="1" sizeWithCells="1">
                  <from>
                    <xdr:col>1</xdr:col>
                    <xdr:colOff>1905000</xdr:colOff>
                    <xdr:row>17</xdr:row>
                    <xdr:rowOff>129540</xdr:rowOff>
                  </from>
                  <to>
                    <xdr:col>1</xdr:col>
                    <xdr:colOff>3200400</xdr:colOff>
                    <xdr:row>20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version_history</vt:lpstr>
      <vt:lpstr>0_parameter catelogue</vt:lpstr>
      <vt:lpstr>1_use case tracker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2018-11-16T13:37:48Z</dcterms:modified>
</cp:coreProperties>
</file>